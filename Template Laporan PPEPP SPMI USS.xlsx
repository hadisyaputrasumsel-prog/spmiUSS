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1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kap" sheetId="1" state="visible" r:id="rId3"/>
    <sheet name="Panduan" sheetId="2" state="visible" r:id="rId4"/>
    <sheet name="Standar Pendidikan" sheetId="3" state="visible" r:id="rId5"/>
    <sheet name="Standar Penelitian" sheetId="4" state="visible" r:id="rId6"/>
    <sheet name="Standar PkM" sheetId="5" state="visible" r:id="rId7"/>
    <sheet name="Tambahan Penelitian" sheetId="6" state="visible" r:id="rId8"/>
    <sheet name="Tambahan PkM" sheetId="7" state="visible" r:id="rId9"/>
    <sheet name="Instrumen AMI" sheetId="8" state="visible" r:id="rId10"/>
    <sheet name="Instrumen AMI Non-Akademik" sheetId="9" state="visible" r:id="rId11"/>
    <sheet name="Dampak Tridharma" sheetId="10" state="visible" r:id="rId12"/>
    <sheet name="Program Kerja Bulan Mutu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5" authorId="0">
      <text>
        <r>
          <rPr>
            <sz val="10"/>
            <rFont val="Arial"/>
            <family val="2"/>
          </rPr>
          <t xml:space="preserve">Pilih: Tercapai / Melampaui / Belum Tercapai / Menyimpang (4 kategori sesuai Manual Evaluasi SPMI USS &amp; Pedoman Teknis SPMI 2026).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5" authorId="0">
      <text>
        <r>
          <rPr>
            <sz val="10"/>
            <rFont val="Arial"/>
            <family val="2"/>
          </rPr>
          <t xml:space="preserve">Pilih: Tercapai / Melampaui / Belum Tercapai / Menyimpang (4 kategori sesuai Manual Evaluasi SPMI USS &amp; Pedoman Teknis SPMI 2026).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5" authorId="0">
      <text>
        <r>
          <rPr>
            <sz val="10"/>
            <rFont val="Arial"/>
            <family val="2"/>
          </rPr>
          <t xml:space="preserve">Pilih: Tercapai / Melampaui / Belum Tercapai / Menyimpang (4 kategori sesuai Manual Evaluasi SPMI USS &amp; Pedoman Teknis SPMI 2026).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5" authorId="0">
      <text>
        <r>
          <rPr>
            <sz val="10"/>
            <rFont val="Arial"/>
            <family val="2"/>
          </rPr>
          <t xml:space="preserve">Pilih: Tercapai / Melampaui / Belum Tercapai / Menyimpang (4 kategori sesuai Manual Evaluasi SPMI USS &amp; Pedoman Teknis SPMI 2026).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5" authorId="0">
      <text>
        <r>
          <rPr>
            <sz val="10"/>
            <rFont val="Arial"/>
            <family val="2"/>
          </rPr>
          <t xml:space="preserve">Pilih: Tercapai / Melampaui / Belum Tercapai / Menyimpang (4 kategori sesuai Manual Evaluasi SPMI USS &amp; Pedoman Teknis SPMI 2026).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Isi unit yang diaudit untuk baris ini, mis. "Fakultas Ekonomi" / "Prodi Manajemen - Fakultas Ekonomi" / "Universitas (LPPM/Rektorat)" untuk standar level institusi. 4 fakultas USS saat ini: Ekonomi, Ilmu Komunikasi, Pertanian (Agribisnis &amp; Ilmu Perikanan), Ilmu Komputer. Jika satu standar perlu diaudit di lebih dari satu unit, salin (duplicate) baris tersebut lalu ganti isian kolom ini per unit.</t>
        </r>
      </text>
    </comment>
    <comment ref="J5" authorId="0">
      <text>
        <r>
          <rPr>
            <sz val="10"/>
            <rFont val="Arial"/>
            <family val="2"/>
          </rPr>
          <t xml:space="preserve">Sesuai = tidak ada temuan. Observasi (OB) = potensi risiko, belum jadi ketidaksesuaian. KTS Minor/Mayor = Ketidaksesuaian, wajib PTK &amp; batas waktu.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Isi unit kerja non-akademik yang diaudit, mis. "Biro Administrasi Umum &amp; Keuangan (BAUK)" / "Bagian SDM" / "Unit Sarana Prasarana". Salin baris bila 1 kategori diaudit di lebih dari 1 unit.</t>
        </r>
      </text>
    </comment>
    <comment ref="I5" authorId="0">
      <text>
        <r>
          <rPr>
            <sz val="10"/>
            <rFont val="Arial"/>
            <family val="2"/>
          </rPr>
          <t xml:space="preserve">Sesuai = tidak ada temuan. Observasi (OB) = potensi risiko, belum jadi ketidaksesuaian. KTS Minor/Mayor = Ketidaksesuaian, wajib PTK &amp; batas waktu.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Isi bulan (dan tahun) pelaksanaan Bulan Mutu 2023, mis. "Oktober 2023".</t>
        </r>
      </text>
    </comment>
    <comment ref="H20" authorId="0">
      <text>
        <r>
          <rPr>
            <sz val="10"/>
            <rFont val="Arial"/>
            <family val="2"/>
          </rPr>
          <t xml:space="preserve">Isi bulan (dan tahun) pelaksanaan Bulan Mutu 2024, mis. "Oktober 2024".</t>
        </r>
      </text>
    </comment>
    <comment ref="H36" authorId="0">
      <text>
        <r>
          <rPr>
            <sz val="10"/>
            <rFont val="Arial"/>
            <family val="2"/>
          </rPr>
          <t xml:space="preserve">Isi bulan (dan tahun) pelaksanaan Bulan Mutu 2025, mis. "Oktober 2025".</t>
        </r>
      </text>
    </comment>
    <comment ref="H52" authorId="0">
      <text>
        <r>
          <rPr>
            <sz val="10"/>
            <rFont val="Arial"/>
            <family val="2"/>
          </rPr>
          <t xml:space="preserve">Isi bulan (dan tahun) pelaksanaan Bulan Mutu 2026, mis. "Oktober 2026".</t>
        </r>
      </text>
    </comment>
  </commentList>
</comments>
</file>

<file path=xl/sharedStrings.xml><?xml version="1.0" encoding="utf-8"?>
<sst xmlns="http://schemas.openxmlformats.org/spreadsheetml/2006/main" count="2162" uniqueCount="706">
  <si>
    <t xml:space="preserve">REKAP STATUS CAPAIAN — SELURUH STANDAR MUTU USS</t>
  </si>
  <si>
    <t xml:space="preserve">Kelompok Standar</t>
  </si>
  <si>
    <t xml:space="preserve">Jumlah Standar</t>
  </si>
  <si>
    <t xml:space="preserve">Tercapai</t>
  </si>
  <si>
    <t xml:space="preserve">Melampaui</t>
  </si>
  <si>
    <t xml:space="preserve">Belum Tercapai</t>
  </si>
  <si>
    <t xml:space="preserve">Menyimpang</t>
  </si>
  <si>
    <t xml:space="preserve">Belum Dievaluasi</t>
  </si>
  <si>
    <t xml:space="preserve">Standar Pendidikan (13)</t>
  </si>
  <si>
    <t xml:space="preserve">Standar Penelitian (8)</t>
  </si>
  <si>
    <t xml:space="preserve">Standar PkM (8)</t>
  </si>
  <si>
    <t xml:space="preserve">Tambahan Penelitian 53/2023 (9)</t>
  </si>
  <si>
    <t xml:space="preserve">Tambahan PkM 53/2023 (12)</t>
  </si>
  <si>
    <t xml:space="preserve">TOTAL</t>
  </si>
  <si>
    <t xml:space="preserve">Catatan: tabel di atas terhubung otomatis (formula COUNTIF) ke kolom "Status Capaian" pada sheet Standar Pendidikan / Standar Penelitian / Standar PkM. Perbarui data pada sheet masing-masing, angka di sini ikut terbarui.</t>
  </si>
  <si>
    <t xml:space="preserve">TEMPLATE LAPORAN PELAKSANAAN SIKLUS PPEPP
SISTEM PENJAMINAN MUTU INTERNAL (SPMI) — UNIVERSITAS SUMATERA SELATAN</t>
  </si>
  <si>
    <t xml:space="preserve">Tentang template ini</t>
  </si>
  <si>
    <t xml:space="preserve">Template ini membantu USS menyusun laporan pelaksanaan siklus PPEPP (Penetapan, Pelaksanaan, Evaluasi, Pengendalian, Peningkatan) atas ke-29 Standar Mutu inti USS (13 Standar Pendidikan, 8 Standar Penelitian, 8 Standar Pengabdian kepada Masyarakat), sesuai Kebijakan SPMI (KM-USS-01) dan 5 Manual Mutu USS, serta selaras dengan format pelaporan pada Pedoman Teknis Pelaporan dan Verifikasi SPMI Perguruan Tinggi 2026 (Kemdiktisaintek) yang dilaporkan melalui spmi.kemdiktisaintek.go.id dan diverifikasi LLDikti.</t>
  </si>
  <si>
    <t xml:space="preserve">Cara mengisi</t>
  </si>
  <si>
    <t xml:space="preserve">1. Buka sheet "Standar Pendidikan", "Standar Penelitian", atau "Standar PkM" — satu baris per standar.</t>
  </si>
  <si>
    <t xml:space="preserve">2. Kolom putih/biru muda (Informasi Standar) sudah terisi sebagai acuan — JANGAN diubah kecuali ada revisi standar resmi.</t>
  </si>
  <si>
    <t xml:space="preserve">3. Isi hanya sel BERWARNA KUNING pada 5 kelompok kolom (Penetapan, Pelaksanaan, Evaluasi, Pengendalian, Peningkatan).</t>
  </si>
  <si>
    <t xml:space="preserve">4. Kolom "Status Capaian" dan "Metode Evaluasi" memakai dropdown — klik sel lalu pilih dari daftar.</t>
  </si>
  <si>
    <t xml:space="preserve">5. Kolom Pengendalian hanya diisi jika Status Capaian = "Belum Tercapai" atau "Menyimpang".</t>
  </si>
  <si>
    <t xml:space="preserve">6. Cek ringkasan otomatis di sheet "Rekap" untuk melihat status seluruh standar sebelum laporan diserahkan ke LPMA / LLDikti.</t>
  </si>
  <si>
    <t xml:space="preserve">7. Sheet "Instrumen AMI" dipakai auditor internal LPMA saat pelaksanaan Audit Mutu Internal (AMAI): 1 baris per standar per tahap PPEPP (P1–P5, total 145 baris untuk 29 standar) — isi Temuan Audit, Kategori Temuan, Rencana Tindak Lanjut (PTK), dan Verifikasi pada sel kuning.</t>
  </si>
  <si>
    <t xml:space="preserve">8. Instrumen AMI berlaku untuk audit di tingkat universitas, fakultas, maupun program studi — isi kolom "Unit Kerja / Fakultas / Program Studi" pada tiap baris. Jika satu standar perlu diaudit di lebih dari satu unit (mis. 4 prodi berbeda), salin (copy-paste) baris standar tsb lalu ubah isian kolom Unit Kerja pada tiap salinannya.</t>
  </si>
  <si>
    <t xml:space="preserve">9. Sheet "Tambahan Penelitian"/"Tambahan PkM" (21 standar Permendikbudristek 53/2023) dan sheet "Dampak Tridharma" bersifat pelengkap — isi dengan mekanisme sama seperti sheet standar inti. Untuk menu "Profil PT" dan "Papan Info PT" di sistem nasional, TIDAK perlu template — datanya otomatis dari PDDikti (lihat tabel "Status pengisian 9 menu" di bawah).</t>
  </si>
  <si>
    <t xml:space="preserve">10. Sheet "Instrumen AMI Non-Akademik" dipakai HANYA untuk audit unit kerja non-akademik (BAUK, SDM, Keuangan, Sarpras, Kerjasama, Kemahasiswaan, dll.) — bukan Fakultas/Prodi (itu di sheet "Instrumen AMI"). 7 kategorinya disusun generik dari Pedoman Teknis SPMI 2026 karena USS belum punya Standar Non-Akademik resmi; sesuaikan/verifikasi dengan kebijakan internal sebelum dipakai resmi.</t>
  </si>
  <si>
    <t xml:space="preserve">Legenda warna</t>
  </si>
  <si>
    <t xml:space="preserve">  </t>
  </si>
  <si>
    <t xml:space="preserve">Informasi acuan standar — sudah terisi, tidak perlu diubah</t>
  </si>
  <si>
    <t xml:space="preserve">Sel yang WAJIB Anda isi dengan data aktual</t>
  </si>
  <si>
    <t xml:space="preserve">Baris contoh pengisian (lihat di bawah) — bukan data standar sungguhan</t>
  </si>
  <si>
    <t xml:space="preserve">Jadwal acuan (dari Manual Evaluasi SPMI USS &amp; Pedoman Teknis SPMI 2026)</t>
  </si>
  <si>
    <t xml:space="preserve">Kegiatan</t>
  </si>
  <si>
    <t xml:space="preserve">Frekuensi / Periode</t>
  </si>
  <si>
    <t xml:space="preserve">Evaluasi Kebijakan SPMI</t>
  </si>
  <si>
    <t xml:space="preserve">Setiap 4 tahun</t>
  </si>
  <si>
    <t xml:space="preserve">Evaluasi penerapan SPMI — akademik</t>
  </si>
  <si>
    <t xml:space="preserve">Setiap semester (6 bulan), via laporan SIMAK</t>
  </si>
  <si>
    <t xml:space="preserve">Evaluasi penerapan SPMI — non-akademik</t>
  </si>
  <si>
    <t xml:space="preserve">Setiap tahun</t>
  </si>
  <si>
    <t xml:space="preserve">AMAI &amp; EMI (Audit Mutu Akademik Internal / Evaluasi Mutu Internal)</t>
  </si>
  <si>
    <t xml:space="preserve">Wajib, minimal 1x/tahun, dikoordinasi LPMA</t>
  </si>
  <si>
    <t xml:space="preserve">Verifikasi pelaporan SPMI oleh LLDikti (nasional)</t>
  </si>
  <si>
    <t xml:space="preserve">Periode Maret–April, dan Oktober–November (2x/tahun) + sewaktu-waktu</t>
  </si>
  <si>
    <t xml:space="preserve">4 Kategori Status Capaian (dari Manual Evaluasi &amp; Pedoman Teknis SPMI 2026)</t>
  </si>
  <si>
    <t xml:space="preserve">Pelaksanaan standar mencapai standar Dikti / target USS yang ditetapkan.</t>
  </si>
  <si>
    <t xml:space="preserve">Pelaksanaan standar melampaui target yang ditetapkan.</t>
  </si>
  <si>
    <t xml:space="preserve">Pelaksanaan standar belum mencapai target — perlu tindakan Pengendalian.</t>
  </si>
  <si>
    <t xml:space="preserve">Pelaksanaan standar menyimpang dari target — perlu tindakan Pengendalian segera.</t>
  </si>
  <si>
    <t xml:space="preserve">Cakupan sheet dalam workbook ini</t>
  </si>
  <si>
    <t xml:space="preserve">Rekap</t>
  </si>
  <si>
    <t xml:space="preserve">Ringkasan otomatis status capaian seluruh standar (formula, terhubung ke sheet-sheet standar).</t>
  </si>
  <si>
    <t xml:space="preserve">Standar Pendidikan / Penelitian / PkM</t>
  </si>
  <si>
    <t xml:space="preserve">29 standar inti USS (13+8+8) — sumber: Kebijakan Mutu &amp; situs web LPMA.</t>
  </si>
  <si>
    <t xml:space="preserve">Tambahan Penelitian / Tambahan PkM</t>
  </si>
  <si>
    <t xml:space="preserve">21 standar tambahan berbasis Permendikbudristek 53/2023 (9 Penelitian + 12 PkM), hanya tersedia di Google Drive USS — kode informal, sebagian isi belum tertangkap lengkap dari sumber (lihat subtitle tiap sheet).</t>
  </si>
  <si>
    <t xml:space="preserve">Instrumen AMI</t>
  </si>
  <si>
    <t xml:space="preserve">Checklist audit internal per standar × 5 tahap PPEPP × unit kerja (mencakup seluruh 50 standar di atas) — untuk Fakultas/Prodi/Universitas.</t>
  </si>
  <si>
    <t xml:space="preserve">Instrumen AMI Non-Akademik</t>
  </si>
  <si>
    <t xml:space="preserve">Checklist audit untuk unit kerja NON-akademik (BAUK/SDM/Keuangan/Sarpras/dll.), 7 kategori generik × 5 tahap PPEPP — BUKAN standar resmi USS, lihat subtitle sheet.</t>
  </si>
  <si>
    <t xml:space="preserve">Dampak Tridharma</t>
  </si>
  <si>
    <t xml:space="preserve">Alat bantu menyusun draf narasi untuk menu "Dampak Tridharma" — BELUM ada format baku dari Kemdiktisaintek, jadi sheet ini bersifat opsional/bantu, bukan formulir wajib.</t>
  </si>
  <si>
    <t xml:space="preserve">Program Kerja Bulan Mutu</t>
  </si>
  <si>
    <t xml:space="preserve">Kalender rangkaian kegiatan penjaminan mutu tahunan (Bulan Mutu) untuk 2023-2026 — 12 kegiatan baku sepanjang siklus PPEPP, tiap tahun punya blok tabel &amp; ringkasan status sendiri (rumus COUNTIF otomatis).</t>
  </si>
  <si>
    <t xml:space="preserve">Status pengisian 9 menu Sistem Pelaporan SPMI nasional (spmi.kemdiktisaintek.go.id)</t>
  </si>
  <si>
    <t xml:space="preserve">Menu</t>
  </si>
  <si>
    <t xml:space="preserve">Cara Pengisian</t>
  </si>
  <si>
    <t xml:space="preserve">Home</t>
  </si>
  <si>
    <t xml:space="preserve">— (dashboard)</t>
  </si>
  <si>
    <t xml:space="preserve">Profil PT</t>
  </si>
  <si>
    <t xml:space="preserve">OTOMATIS dari PDDikti — bukan input manual. Tidak perlu template; koreksi lewat PDDikti.</t>
  </si>
  <si>
    <t xml:space="preserve">Papan Info PT</t>
  </si>
  <si>
    <t xml:space="preserve">OTOMATIS dari PDDikti (jumlah mahasiswa/dosen dll). Tidak perlu template.</t>
  </si>
  <si>
    <t xml:space="preserve">Penetapan</t>
  </si>
  <si>
    <t xml:space="preserve">MANUAL — gunakan sheet Standar &amp; Formulir Bukti Pelaksanaan PPEPP.docx.</t>
  </si>
  <si>
    <t xml:space="preserve">Pelaksanaan</t>
  </si>
  <si>
    <t xml:space="preserve">OTOMATIS dari PDDikti/BIMA di sistem nasional. Kolom "Pelaksanaan" pada sheet Standar workbook ini adalah pencatatan INTERNAL USS, bukan isian ke sistem nasional.</t>
  </si>
  <si>
    <t xml:space="preserve">Evaluasi</t>
  </si>
  <si>
    <t xml:space="preserve">MANUAL, kini opsional bentuknya (Monitoring/Evaluasi Kinerja/Audit Mutu Internal/Evaluasi Diri) — USS memakai AMAI+EMI, lihat sheet Instrumen AMI.</t>
  </si>
  <si>
    <t xml:space="preserve">Pengendalian</t>
  </si>
  <si>
    <t xml:space="preserve">MANUAL — wajib memuat bukti pelaksanaan (kapan/di mana/siapa/bagaimana) + hasil.</t>
  </si>
  <si>
    <t xml:space="preserve">Peningkatan</t>
  </si>
  <si>
    <t xml:space="preserve">MANUAL — wajib memuat bukti pelaksanaan + hasil peningkatan.</t>
  </si>
  <si>
    <t xml:space="preserve">MANUAL, narasi bebas — BELUM ada format baku. Lihat sheet Dampak Tridharma.</t>
  </si>
  <si>
    <t xml:space="preserve">Persiapan sebelum mulai melapor (sekali di awal)</t>
  </si>
  <si>
    <t xml:space="preserve">1. Pastikan Akun Pengelola PDDikti aktif; tambahkan Akun Pengelola SPMI (Role SPMI) lewat Akun Master Admin PT di PDDikti — perlu SK Pimpinan PT.</t>
  </si>
  <si>
    <t xml:space="preserve">2. Siapkan repositori dokumen bukti (internal USS atau pihak ketiga: Google Drive/OneDrive/Dropbox/dll). Link WAJIB open/public dan spesifik ke dokumen/folder tertentu (bukan link folder umum).</t>
  </si>
  <si>
    <t xml:space="preserve">3. Simpan semua Formulir Bukti Pelaksanaan PPEPP (.docx) &amp; lampirannya di repositori itu, lalu tautkan linknya di kolom "Bukti/Dokumen" pada sheet Standar terkait.</t>
  </si>
  <si>
    <t xml:space="preserve">4. Ingat periode pelaporan: tahun = tahun penetapan dokumen; verifikasi LLDikti berlangsung Maret–April &amp; Oktober–November.</t>
  </si>
  <si>
    <t xml:space="preserve">Contoh pengisian satu baris (ILUSTRASI — bukan data sungguhan)</t>
  </si>
  <si>
    <t xml:space="preserve">Kolom</t>
  </si>
  <si>
    <t xml:space="preserve">Isi contoh</t>
  </si>
  <si>
    <t xml:space="preserve">Kode Standar</t>
  </si>
  <si>
    <t xml:space="preserve">SM-USS-03-02-01 (Standar Hasil Penelitian)</t>
  </si>
  <si>
    <t xml:space="preserve">Tanggal Ditetapkan</t>
  </si>
  <si>
    <t xml:space="preserve">23-02-2021</t>
  </si>
  <si>
    <t xml:space="preserve">No. SK / Dokumen Penetapan</t>
  </si>
  <si>
    <t xml:space="preserve">SK Rektor No. 045/USS/SK/2021</t>
  </si>
  <si>
    <t xml:space="preserve">Periode Pelaksanaan</t>
  </si>
  <si>
    <t xml:space="preserve">Tahun Akademik 2025/2026</t>
  </si>
  <si>
    <t xml:space="preserve">Bukti / Dokumen Pelaksanaan</t>
  </si>
  <si>
    <t xml:space="preserve">Rekap judul penelitian dosen T.A. 2025/2026 (LPPM)</t>
  </si>
  <si>
    <t xml:space="preserve">Metode Evaluasi</t>
  </si>
  <si>
    <t xml:space="preserve">EMI</t>
  </si>
  <si>
    <t xml:space="preserve">Tanggal Evaluasi</t>
  </si>
  <si>
    <t xml:space="preserve">September 2026</t>
  </si>
  <si>
    <t xml:space="preserve">Capaian Aktual</t>
  </si>
  <si>
    <t xml:space="preserve">82% dosen menghasilkan ≥1 penelitian/tahun (target &gt;80%)</t>
  </si>
  <si>
    <t xml:space="preserve">Status Capaian</t>
  </si>
  <si>
    <t xml:space="preserve">Temuan / Penyimpangan</t>
  </si>
  <si>
    <t xml:space="preserve">(dikosongkan karena status Tercapai)</t>
  </si>
  <si>
    <t xml:space="preserve">Tindakan Korektif</t>
  </si>
  <si>
    <t xml:space="preserve">Rencana Peningkatan / Revisi Standar</t>
  </si>
  <si>
    <t xml:space="preserve">Naikkan target menjadi &gt;85% pada RTM berikutnya</t>
  </si>
  <si>
    <t xml:space="preserve">Target Periode Berikutnya</t>
  </si>
  <si>
    <t xml:space="preserve">&gt;85% (T.A. 2026/2027)</t>
  </si>
  <si>
    <t xml:space="preserve">Sumber acuan: Kebijakan SPMI USS (KM-USS-01), Manual Penetapan/Pelaksanaan/Evaluasi/Pengendalian/Peningkatan (MM-USS-02-01 s.d. 05), 29 Standar Mutu inti USS (SM-USS-03-01/02/03-xx), 21 Standar tambahan Permendikbudristek 53/2023 (SM-USS-T-PN/PKM-xx, kode informal), dan Pedoman Teknis Pelaporan dan Verifikasi SPMI Perguruan Tinggi 2026 (Kemdiktisaintek/Ditjen Dikti) — dirangkum dalam dokumen proyek "ringkasan-dokumen-spmi-uss.md" dan "ringkasan-pedoman-spmi-2026.md". Dokumen pendukung: Formulir Bukti Pelaksanaan PPEPP SPMI USS.docx.</t>
  </si>
  <si>
    <t xml:space="preserve">LAPORAN PELAKSANAAN SIKLUS PPEPP — STANDAR PENDIDIKAN (13 STANDAR)</t>
  </si>
  <si>
    <t xml:space="preserve">Universitas Sumatera Selatan — isi hanya sel berwarna kuning. Kolom putih/biru adalah acuan (jangan diubah).</t>
  </si>
  <si>
    <t xml:space="preserve">INFORMASI STANDAR</t>
  </si>
  <si>
    <t xml:space="preserve">1. PENETAPAN</t>
  </si>
  <si>
    <t xml:space="preserve">2. PELAKSANAAN</t>
  </si>
  <si>
    <t xml:space="preserve">3. EVALUASI</t>
  </si>
  <si>
    <t xml:space="preserve">4. PENGENDALIAN</t>
  </si>
  <si>
    <t xml:space="preserve">5. PENINGKATAN</t>
  </si>
  <si>
    <t xml:space="preserve">No</t>
  </si>
  <si>
    <t xml:space="preserve">Nama Standar</t>
  </si>
  <si>
    <t xml:space="preserve">Target / Indikator Standar (acuan)</t>
  </si>
  <si>
    <t xml:space="preserve">Penanggung Jawab (pola baku)</t>
  </si>
  <si>
    <t xml:space="preserve">Tanggal Tindak Lanjut</t>
  </si>
  <si>
    <t xml:space="preserve">SM-USS-03-01-01</t>
  </si>
  <si>
    <t xml:space="preserve">Kompetensi Lulusan</t>
  </si>
  <si>
    <t xml:space="preserve">IPK minimal 3.0; masa studi maks. 9 semester; lulus tepat waktu ≥50%; wirausaha 30%; TOEFL minimal 400; kesesuaian kerja dgn bidang studi ≥50%</t>
  </si>
  <si>
    <t xml:space="preserve">Rektor &amp; WR I, Dekan &amp; WD, Ketua Prodi</t>
  </si>
  <si>
    <t xml:space="preserve">SM-USS-03-01-02</t>
  </si>
  <si>
    <t xml:space="preserve">Isi Pembelajaran</t>
  </si>
  <si>
    <t xml:space="preserve">Evaluasi kedalaman/keluasan materi min. 1x/tahun ajaran; peninjauan kurikulum min. 4 tahun sekali</t>
  </si>
  <si>
    <t xml:space="preserve">SM-USS-03-01-03</t>
  </si>
  <si>
    <t xml:space="preserve">Proses Pembelajaran</t>
  </si>
  <si>
    <t xml:space="preserve">Semua MK punya RPS selaras CPL; kontrak RPS dibagikan awal kuliah; metode PBL/PjBL/studi kasus dsb.</t>
  </si>
  <si>
    <t xml:space="preserve">SM-USS-03-01-04</t>
  </si>
  <si>
    <t xml:space="preserve">Penilaian Pembelajaran</t>
  </si>
  <si>
    <t xml:space="preserve">Nilai diinput paling lambat 14 hari setelah ujian; prinsip edukatif-otentik-objektif-akuntabel-transparan</t>
  </si>
  <si>
    <t xml:space="preserve">Rektor &amp; WR I, Dekan &amp; WD, Ketua Prodi, Dosen</t>
  </si>
  <si>
    <t xml:space="preserve">SM-USS-03-01-05</t>
  </si>
  <si>
    <t xml:space="preserve">Dosen dan Tenaga Kependidikan</t>
  </si>
  <si>
    <t xml:space="preserve">Dosen min. S2, jabfung min. Asisten Ahli; rasio dosen:mhs eksakta 1:20 (tol. 1:30), sosial/ekonomi 1:30 (tol. 1:45)</t>
  </si>
  <si>
    <t xml:space="preserve">SM-USS-03-01-06</t>
  </si>
  <si>
    <t xml:space="preserve">Sarana dan Prasarana Pembelajaran</t>
  </si>
  <si>
    <t xml:space="preserve">20 pernyataan standar (perabotan, lab, perpustakaan, TIK, ruang kelas dll.)</t>
  </si>
  <si>
    <t xml:space="preserve">Rektor &amp; WR I, Dekan &amp; WD, Ketua Prodi, Tim Pengelola Aset</t>
  </si>
  <si>
    <t xml:space="preserve">SM-USS-03-01-07</t>
  </si>
  <si>
    <t xml:space="preserve">Pengelolaan Pembelajaran</t>
  </si>
  <si>
    <t xml:space="preserve">Kebijakan pengelolaan seluruh prodi paling lambat 2021; monev tiap semester; lapor PDDikti ganjil ≤15 April, genap ≤15 Oktober</t>
  </si>
  <si>
    <t xml:space="preserve">Rektor, WR I, Dekan, Ketua Prodi, BAUK, UPT, LPMA</t>
  </si>
  <si>
    <t xml:space="preserve">SM-USS-03-01-08</t>
  </si>
  <si>
    <t xml:space="preserve">Pembiayaan Pembelajaran</t>
  </si>
  <si>
    <t xml:space="preserve">Sistem pencatatan biaya per prodi; evaluasi ketercapaian akhir tahun anggaran; komponen investasi-operasional-personal</t>
  </si>
  <si>
    <t xml:space="preserve">Rektor, WR I &amp; WR II, Biro Akademik &amp; Keuangan, LPMA</t>
  </si>
  <si>
    <t xml:space="preserve">SM-USS-03-01-09</t>
  </si>
  <si>
    <t xml:space="preserve">Proses Penerimaan Mahasiswa Baru</t>
  </si>
  <si>
    <t xml:space="preserve">Jadwal PMB ditetapkan 1 tahun sebelumnya; info disebar ≤6 bulan sebelum TA baru; kelulusan diumumkan ≤10 hari; target bertahap 80-100% (2019→2021)</t>
  </si>
  <si>
    <t xml:space="preserve">WR bidang Akademik, Dekan, Ketua Prodi, BAUK, LPMA</t>
  </si>
  <si>
    <t xml:space="preserve">SM-USS-03-01-10</t>
  </si>
  <si>
    <t xml:space="preserve">Pembelajaran Entrepreneur</t>
  </si>
  <si>
    <t xml:space="preserve">Entrepreneur Center per prodi; sarana/media/lab entrepreneur</t>
  </si>
  <si>
    <t xml:space="preserve">SM-USS-03-01-11</t>
  </si>
  <si>
    <t xml:space="preserve">Kemampuan Bahasa Inggris</t>
  </si>
  <si>
    <t xml:space="preserve">English Learning Center per prodi; sarana/media pendidikan bahasa Inggris</t>
  </si>
  <si>
    <t xml:space="preserve">SM-USS-03-01-12</t>
  </si>
  <si>
    <t xml:space="preserve">Kerjasama</t>
  </si>
  <si>
    <t xml:space="preserve">MoU/MoA/PKS; prinsip kesetaraan-saling menghormati-saling menguntungkan; bukti laporan/jurnal/prosiding</t>
  </si>
  <si>
    <t xml:space="preserve">Pimpinan universitas, seluruh fakultas &amp; unit</t>
  </si>
  <si>
    <t xml:space="preserve">SM-USS-03-01-13</t>
  </si>
  <si>
    <t xml:space="preserve">Merdeka Belajar Kampus Merdeka (MBKM)</t>
  </si>
  <si>
    <t xml:space="preserve">2 semester (40 sks) di luar PT + 1 semester (20 sks) di prodi lain; target Standar MBKM 60%→80% (2020→2021)</t>
  </si>
  <si>
    <t xml:space="preserve">WR I, WR II, BAUK, Humas, Dekan, UPMI, LPMA</t>
  </si>
  <si>
    <t xml:space="preserve">LAPORAN PELAKSANAAN SIKLUS PPEPP — STANDAR PENELITIAN (8 STANDAR)</t>
  </si>
  <si>
    <t xml:space="preserve">SM-USS-03-02-01</t>
  </si>
  <si>
    <t xml:space="preserve">Hasil Penelitian</t>
  </si>
  <si>
    <t xml:space="preserve">Dosen min. 1 penelitian/tahun; mhs S1 min. 1/tahun; kesesuaian RIP &gt;70%→&gt;80% (2020→2021); publikasi &gt;50%→&gt;80%</t>
  </si>
  <si>
    <t xml:space="preserve">WR I (pemilik/evaluasi), LPPM (pelaksana), LPMA (pengendalian)</t>
  </si>
  <si>
    <t xml:space="preserve">SM-USS-03-02-02</t>
  </si>
  <si>
    <t xml:space="preserve">Isi Penelitian</t>
  </si>
  <si>
    <t xml:space="preserve">Min. 1 penelitian/tahun (dasar &amp; terapan); kesesuaian RIP &gt;50%→&gt;80% (2019→2020)</t>
  </si>
  <si>
    <t xml:space="preserve">SM-USS-03-02-03</t>
  </si>
  <si>
    <t xml:space="preserve">Proses Penelitian</t>
  </si>
  <si>
    <t xml:space="preserve">Bukti pelaksanaan &amp; review proses &gt;50%→&gt;80%; dokumen perencanaan-pelaksanaan-pelaporan &gt;70%→&gt;90%</t>
  </si>
  <si>
    <t xml:space="preserve">SM-USS-03-02-04</t>
  </si>
  <si>
    <t xml:space="preserve">Penilaian Penelitian</t>
  </si>
  <si>
    <t xml:space="preserve">100% LPPM pakai instrumen penilaian terintegrasi; nilai proposal/hasil min. 75; publikasi min. terindeks SINTA-5; tugas akhir setara 6 sks</t>
  </si>
  <si>
    <t xml:space="preserve">Rektor, WR I, LPPM, Dekan/Direktur, Ketua Prodi</t>
  </si>
  <si>
    <t xml:space="preserve">SM-USS-03-02-05</t>
  </si>
  <si>
    <t xml:space="preserve">Peneliti</t>
  </si>
  <si>
    <t xml:space="preserve">Kesesuaian dgn RIP &gt;80% (2020); verifikasi jadwal &gt;80%; rekomendasi publikasi &gt;88,5%; pengumpulan laporan &gt;90%</t>
  </si>
  <si>
    <t xml:space="preserve">SM-USS-03-02-06</t>
  </si>
  <si>
    <t xml:space="preserve">Sarana dan Prasarana Penelitian</t>
  </si>
  <si>
    <t xml:space="preserve">Ketersediaan sarana &gt;70%→&gt;95% (2019→2020); fasilitas keselamatan &amp; kesehatan kerja</t>
  </si>
  <si>
    <t xml:space="preserve">SM-USS-03-02-07</t>
  </si>
  <si>
    <t xml:space="preserve">Pengelolaan Penelitian</t>
  </si>
  <si>
    <t xml:space="preserve">RIP/Renstra/panduan penelitian oleh LPPM; SOP &gt;70%→&gt;90%; laporan tahunan 1x/tahun</t>
  </si>
  <si>
    <t xml:space="preserve">SM-USS-03-02-08</t>
  </si>
  <si>
    <t xml:space="preserve">Pendanaan dan Pembiayaan Penelitian</t>
  </si>
  <si>
    <t xml:space="preserve">Alokasi dana penelitian internal minimal 7%; target &gt;60%→&gt;80% (2019→2020); tersedia dana pendamping (matching fund)</t>
  </si>
  <si>
    <t xml:space="preserve">LAPORAN PELAKSANAAN SIKLUS PPEPP — STANDAR PENGABDIAN KEPADA MASYARAKAT (8 STANDAR)</t>
  </si>
  <si>
    <t xml:space="preserve">SM-USS-03-03-01</t>
  </si>
  <si>
    <t xml:space="preserve">Hasil PkM</t>
  </si>
  <si>
    <t xml:space="preserve">Dosen &amp; mhs S1 min. 1 PkM/tahun; kesesuaian RIP &gt;70%→&gt;80% (2019→2021); publikasi &gt;50%→&gt;80%</t>
  </si>
  <si>
    <t xml:space="preserve">SM-USS-03-03-02</t>
  </si>
  <si>
    <t xml:space="preserve">Isi PkM</t>
  </si>
  <si>
    <t xml:space="preserve">Min. 2x/tahun pelaksanaan terkait kedalaman/keluasan materi; kesesuaian RIP &gt;50%→&gt;80% (2019→2020)</t>
  </si>
  <si>
    <t xml:space="preserve">SM-USS-03-03-03</t>
  </si>
  <si>
    <t xml:space="preserve">Proses PkM</t>
  </si>
  <si>
    <t xml:space="preserve">Bukti pelaksanaan &amp; review &gt;50%→&gt;80%; dokumen perencanaan-pelaksanaan-pelaporan &gt;70%→&gt;90%</t>
  </si>
  <si>
    <t xml:space="preserve">SM-USS-03-03-04</t>
  </si>
  <si>
    <t xml:space="preserve">Penilaian PkM</t>
  </si>
  <si>
    <t xml:space="preserve">Kesesuaian rencana/jadwal &gt;50%→&gt;80% (2019→2020-21); rekomendasi perbaikan &gt;70%→&gt;88,5%; pelaporan &gt;80%→&gt;90%</t>
  </si>
  <si>
    <t xml:space="preserve">LPPM (pelaksana), WR I (pengawasan)</t>
  </si>
  <si>
    <t xml:space="preserve">SM-USS-03-03-05</t>
  </si>
  <si>
    <t xml:space="preserve">Pelaksana PkM</t>
  </si>
  <si>
    <t xml:space="preserve">Ketua peneliti min. S2; capaian dicantumkan &gt;50%→&gt;80%; min. 2 dosen penerima hibah, target &gt;80%→&gt;90%</t>
  </si>
  <si>
    <t xml:space="preserve">LPPM (pelaksana), WR I (evaluasi &amp; peningkatan)</t>
  </si>
  <si>
    <t xml:space="preserve">SM-USS-03-03-06</t>
  </si>
  <si>
    <t xml:space="preserve">Sarana dan Prasarana PkM</t>
  </si>
  <si>
    <t xml:space="preserve">Ketersediaan sarana &gt;70%→&gt;95% (2019→2020); sarana keselamatan &amp; kesehatan kerja</t>
  </si>
  <si>
    <t xml:space="preserve">WR I (pemilik), LPPM (pelaksana), LPMA (pengendalian)</t>
  </si>
  <si>
    <t xml:space="preserve">SM-USS-03-03-07</t>
  </si>
  <si>
    <t xml:space="preserve">Pengelolaan PkM</t>
  </si>
  <si>
    <t xml:space="preserve">RIP/Renstra/panduan PkM; SOP &gt;70%→&gt;90%; laporan tahunan 1x/tahun; target implementasi 65%→80% (2020→2021)</t>
  </si>
  <si>
    <t xml:space="preserve">LPPM (pelaksana), WR I (pengawasan), LPMA (pengendalian)</t>
  </si>
  <si>
    <t xml:space="preserve">SM-USS-03-03-08</t>
  </si>
  <si>
    <t xml:space="preserve">Pendanaan dan Pembiayaan PkM</t>
  </si>
  <si>
    <t xml:space="preserve">Dana eksternal minimal 7% dari total pemasukan, target &gt;60%→&gt;80% (2020→2021); dana internal pendamping &gt;50%→&gt;80%</t>
  </si>
  <si>
    <t xml:space="preserve">LAPORAN PELAKSANAAN SIKLUS PPEPP — STANDAR TAMBAHAN PENELITIAN — PERMENDIKBUDRISTEK 53/2023 (9 STANDAR)</t>
  </si>
  <si>
    <t xml:space="preserve">Universitas Sumatera Selatan — isi hanya sel berwarna kuning. KODE STANDAR bersifat INFORMAL (dokumen sumber Google Drive tidak mencantumkan kode resmi). Sebagian isi Target/Indikator &amp; Penanggung Jawab belum tertangkap lengkap dari dokumen sumber — lihat caveat di sheet Panduan &amp; dokumen proyek ringkasan-dokumen-spmi-uss.md Bagian 6.</t>
  </si>
  <si>
    <t xml:space="preserve">SM-USS-T-PN-01</t>
  </si>
  <si>
    <t xml:space="preserve">Penggunaan TIK Penelitian</t>
  </si>
  <si>
    <t xml:space="preserve">Kepala STK pastikan dosen gunakan TIK tiap tahun anggaran; STK &amp; WR II jamin sarana/pembiayaan TIK; Ketua Prodi jamin akses dosen; Tim Pengawasan TIK cek kendala min. 3 bulan sekali</t>
  </si>
  <si>
    <t xml:space="preserve">Kepala STK, WR II, Ketua Prodi, Tim Pengawasan TIK</t>
  </si>
  <si>
    <t xml:space="preserve">SM-USS-T-PN-02</t>
  </si>
  <si>
    <t xml:space="preserve">Penugasan Dosen Penelitian</t>
  </si>
  <si>
    <t xml:space="preserve">Dosen ajukan proposal sesuai panduan LPPM; LPPM lapor jumlah judul; Rektor terbitkan SK penugasan tiap periode</t>
  </si>
  <si>
    <t xml:space="preserve">Dosen, LPPM, Rektor</t>
  </si>
  <si>
    <t xml:space="preserve">SM-USS-T-PN-03</t>
  </si>
  <si>
    <t xml:space="preserve">Pembiayaan Penelitian</t>
  </si>
  <si>
    <t xml:space="preserve">USS wajib danai minimal 1 penelitian/tahun via dana internal (APBU/hibah eksternal/kerja sama pihak ketiga); besaran berdasarkan skema &amp; kompleksitas</t>
  </si>
  <si>
    <t xml:space="preserve">WR I &amp; WR II, LPPM</t>
  </si>
  <si>
    <t xml:space="preserve">SM-USS-T-PN-04</t>
  </si>
  <si>
    <t xml:space="preserve">Akses Sarana dan Prasarana Penelitian</t>
  </si>
  <si>
    <t xml:space="preserve">Prasarana sesuai roadmap &amp; isu strategis (lab riset tematik, fasilitas lapangan, software analisis SPSS/NVivo/MATLAB); alokasi anggaran jelas</t>
  </si>
  <si>
    <t xml:space="preserve">WR I, LPPM, unit Sarpras</t>
  </si>
  <si>
    <t xml:space="preserve">SM-USS-T-PN-05</t>
  </si>
  <si>
    <t xml:space="preserve">Penilaian Penelitian (versi 53/2023)</t>
  </si>
  <si>
    <t xml:space="preserve">Penilaian edukatif-objektif-akuntabel-transparan, menjunjung otonomi keilmuan</t>
  </si>
  <si>
    <t xml:space="preserve">LPPM, reviewer/penilai</t>
  </si>
  <si>
    <t xml:space="preserve">SM-USS-T-PN-06</t>
  </si>
  <si>
    <t xml:space="preserve">Proses Pengawasan Penelitian</t>
  </si>
  <si>
    <t xml:space="preserve">Pengawasan berkala kualitas &amp; anggaran; LPPM pastikan dana sesuai rencana; laporan dipertanggungjawabkan ke pimpinan</t>
  </si>
  <si>
    <t xml:space="preserve">LPPM, WR I</t>
  </si>
  <si>
    <t xml:space="preserve">SM-USS-T-PN-07</t>
  </si>
  <si>
    <t xml:space="preserve">Proses Pelaksanaan Penelitian (label situs: Pengendalian Kegiatan Penelitian)</t>
  </si>
  <si>
    <t xml:space="preserve">Tahapan persiapan–lapangan/lab–analisis–dokumentasi; minimalkan bias &amp; penuhi regulasi nasional/internasional</t>
  </si>
  <si>
    <t xml:space="preserve">Peneliti, LPPM</t>
  </si>
  <si>
    <t xml:space="preserve">SM-USS-T-PN-08</t>
  </si>
  <si>
    <t xml:space="preserve">Perencanaan Penelitian</t>
  </si>
  <si>
    <t xml:space="preserve">Identifikasi isu strategis, rumusan masalah, metodologi, luaran terukur, selaras RIP/Renstra/prioritas nasional</t>
  </si>
  <si>
    <t xml:space="preserve">LPPM, peneliti</t>
  </si>
  <si>
    <t xml:space="preserve">SM-USS-T-PN-09</t>
  </si>
  <si>
    <t xml:space="preserve">Mutu Luaran Penelitian / Relevansi Penelitian</t>
  </si>
  <si>
    <t xml:space="preserve">Kepala LPPM jamin pedoman &amp; kesesuaian judul dengan roadmap prodi tiap tahun</t>
  </si>
  <si>
    <t xml:space="preserve">Kepala LPPM</t>
  </si>
  <si>
    <t xml:space="preserve">LAPORAN PELAKSANAAN SIKLUS PPEPP — STANDAR TAMBAHAN PkM — PERMENDIKBUDRISTEK 53/2023 (12 STANDAR)</t>
  </si>
  <si>
    <t xml:space="preserve">SM-USS-T-PKM-01</t>
  </si>
  <si>
    <t xml:space="preserve">Akses Sarana PkM</t>
  </si>
  <si>
    <t xml:space="preserve">WR Keuangan/SDM/Sapras/Kerjasama jamin sarana penuhi kriteria minimal &amp; standar mutu-keamanan; peneliti bertanggung jawab atas risiko penggunaan sarana institusi</t>
  </si>
  <si>
    <t xml:space="preserve">WR terkait (Keuangan/SDM/Sapras/Kerjasama)</t>
  </si>
  <si>
    <t xml:space="preserve">SM-USS-T-PKM-02</t>
  </si>
  <si>
    <t xml:space="preserve">Prasarana PkM</t>
  </si>
  <si>
    <t xml:space="preserve">Sesuai roadmap PkM &amp; isu strategis wilayah (pemberdayaan desa, pertanian, kesehatan, UMKM): ruang pelatihan, lab lapangan, teknologi tepat guna, infrastruktur digital</t>
  </si>
  <si>
    <t xml:space="preserve">LPPM, unit Sarpras</t>
  </si>
  <si>
    <t xml:space="preserve">SM-USS-T-PKM-03</t>
  </si>
  <si>
    <t xml:space="preserve">Pembiayaan PkM</t>
  </si>
  <si>
    <t xml:space="preserve">Dana seluruh tahapan PkM (perencanaan-pelaksanaan-evaluasi-pelaporan) sesuai prinsip relevansi-efektivitas-efisiensi-akuntabilitas-keberlanjutan</t>
  </si>
  <si>
    <t xml:space="preserve">SM-USS-T-PKM-04</t>
  </si>
  <si>
    <t xml:space="preserve">Penugasan PkM Dosen</t>
  </si>
  <si>
    <t xml:space="preserve">Proposal diajukan paling lambat akhir semester; orisinalitas target 80%; validitas data target 90%</t>
  </si>
  <si>
    <t xml:space="preserve">Dosen, LPPM</t>
  </si>
  <si>
    <t xml:space="preserve">SM-USS-T-PKM-05</t>
  </si>
  <si>
    <t xml:space="preserve">Penggunaan TIK PkM</t>
  </si>
  <si>
    <t xml:space="preserve">Aspek SDM, infrastruktur TIK, sistem informasi, penggunaan TIK dalam proses pengabdian</t>
  </si>
  <si>
    <t xml:space="preserve">Kepala STK, LPPM</t>
  </si>
  <si>
    <t xml:space="preserve">SM-USS-T-PKM-06</t>
  </si>
  <si>
    <t xml:space="preserve">Mengukur dampak sosial-ekonomi hasil riset dosen (kualitas hidup, pengentasan masalah sosial); Kepala LPPM jamin reviewer kompeten tiap tahun</t>
  </si>
  <si>
    <t xml:space="preserve">SM-USS-T-PKM-07</t>
  </si>
  <si>
    <t xml:space="preserve">Perencanaan PkM</t>
  </si>
  <si>
    <t xml:space="preserve">Keterarahan, keselarasan Rencana Induk Pengabdian/Renstra, akuntabilitas, kualitas ilmiah, dasar monev</t>
  </si>
  <si>
    <t xml:space="preserve">LPPM</t>
  </si>
  <si>
    <t xml:space="preserve">SM-USS-T-PKM-08</t>
  </si>
  <si>
    <t xml:space="preserve">Pelaksanaan PkM</t>
  </si>
  <si>
    <t xml:space="preserve">Metodologi tepat, minimalkan bias, ikuti regulasi (paralel dengan versi Penelitian)</t>
  </si>
  <si>
    <t xml:space="preserve">Pelaksana PkM, LPPM</t>
  </si>
  <si>
    <t xml:space="preserve">SM-USS-T-PKM-09</t>
  </si>
  <si>
    <t xml:space="preserve">Pengendalian PkM</t>
  </si>
  <si>
    <t xml:space="preserve">LPPM jamin keselarasan dengan Roadmap/Renstra; pemantauan-evaluasi berkala wajib; pengawasan anggaran (verifikasi laporan keuangan &amp; realisasi)</t>
  </si>
  <si>
    <t xml:space="preserve">SM-USS-T-PKM-10</t>
  </si>
  <si>
    <t xml:space="preserve">Pengawasan PkM</t>
  </si>
  <si>
    <t xml:space="preserve">Pengawasan aspek waktu-lokasi-metode-sasaran sesuai proposal; jaga relevansi, etika, efisiensi dana</t>
  </si>
  <si>
    <t xml:space="preserve">SM-USS-T-PKM-11</t>
  </si>
  <si>
    <t xml:space="preserve">Mutu PkM</t>
  </si>
  <si>
    <t xml:space="preserve">Luaran PkM (publikasi, produk teknologi/inovasi, HKI/paten); Kepala LPPM jamin pedoman tersedia tiap tahun</t>
  </si>
  <si>
    <t xml:space="preserve">SM-USS-T-PKM-12</t>
  </si>
  <si>
    <t xml:space="preserve">Relevansi PkM (judul asli: Standar Kemanfaatan/Luaran Kemanfaatan Hasil Penelitian)</t>
  </si>
  <si>
    <t xml:space="preserve">Dosen/peneliti wajib hasilkan luaran termanfaatkan (teknologi tepat guna/model/kebijakan) dalam 1 semester; mahasiswa terlibat implementasi dalam 1 tahun (≥70% tim); diseminasi selambatnya 6 bulan, min. 1 forum/penelitian</t>
  </si>
  <si>
    <t xml:space="preserve">Dosen/peneliti, LPPM</t>
  </si>
  <si>
    <t xml:space="preserve">INSTRUMEN AUDIT MUTU INTERNAL (AMI) — DISUSUN SESUAI 5 TAHAP PPEPP</t>
  </si>
  <si>
    <t xml:space="preserve">Universitas Sumatera Selatan — dipakai auditor LPMA saat AMAI, berlaku untuk audit di tingkat universitas, fakultas, maupun program studi. Setiap standar diperiksa pada 5 tahap PPEPP (P1 Penetapan s.d. P5 Peningkatan). Isi kolom "Unit Kerja / Fakultas / Program Studi" sesuai unit yang diaudit; salin baris bila satu standar diaudit di lebih dari satu unit. Isi hanya sel berwarna kuning.</t>
  </si>
  <si>
    <t xml:space="preserve">INFORMASI &amp; KRITERIA AUDIT</t>
  </si>
  <si>
    <t xml:space="preserve">OBJEK AUDIT</t>
  </si>
  <si>
    <t xml:space="preserve">TEMUAN AUDIT</t>
  </si>
  <si>
    <t xml:space="preserve">RENCANA TINDAK LANJUT (RTL/PTK)</t>
  </si>
  <si>
    <t xml:space="preserve">VERIFIKASI</t>
  </si>
  <si>
    <t xml:space="preserve">Tahap PPEPP</t>
  </si>
  <si>
    <t xml:space="preserve">Kriteria / Pertanyaan Audit (acuan)</t>
  </si>
  <si>
    <t xml:space="preserve">Unit Kerja / Fakultas / Program Studi (auditee)</t>
  </si>
  <si>
    <t xml:space="preserve">Bukti / Dokumen yang Diperiksa</t>
  </si>
  <si>
    <t xml:space="preserve">Kondisi / Fakta di Lapangan</t>
  </si>
  <si>
    <t xml:space="preserve">Kategori Temuan</t>
  </si>
  <si>
    <t xml:space="preserve">Uraian Ketidaksesuaian (jika ada)</t>
  </si>
  <si>
    <t xml:space="preserve">Akar Penyebab</t>
  </si>
  <si>
    <t xml:space="preserve">Rencana Tindakan Koreksi (PTK)</t>
  </si>
  <si>
    <t xml:space="preserve">PIC Tindak Lanjut</t>
  </si>
  <si>
    <t xml:space="preserve">Batas Waktu Penyelesaian</t>
  </si>
  <si>
    <t xml:space="preserve">Status Verifikasi</t>
  </si>
  <si>
    <t xml:space="preserve">Auditor</t>
  </si>
  <si>
    <t xml:space="preserve">Tanggal Audit</t>
  </si>
  <si>
    <t xml:space="preserve">Pendidikan</t>
  </si>
  <si>
    <t xml:space="preserve">Apakah Standar "Kompetensi Lulusan" telah ditetapkan secara resmi (SK Rektor), disosialisasikan ke unit terkait, dan target/indikatornya memenuhi atau melampaui SN-Dikti?</t>
  </si>
  <si>
    <t xml:space="preserve">Apakah pelaksanaan Standar "Kompetensi Lulusan" mengacu pada SOP/pedoman pelaksanaan yang berlaku dan didukung bukti/dokumen pelaksanaan yang memadai?</t>
  </si>
  <si>
    <t xml:space="preserve">Apakah evaluasi capaian Standar "Kompetensi Lulusan" dilakukan secara berkala (AMAI/EMI) sesuai jadwal Manual Evaluasi SPMI USS, dan hasilnya terdokumentasi serta dilaporkan?</t>
  </si>
  <si>
    <t xml:space="preserve">Apakah setiap penyimpangan/ketidaktercapaian Standar "Kompetensi Lulusan" ditindaklanjuti dengan tindakan pengendalian (koreksi) yang terdokumentasi dan tepat waktu?</t>
  </si>
  <si>
    <t xml:space="preserve">Apakah dilakukan peningkatan/revisi Standar "Kompetensi Lulusan" berdasarkan hasil evaluasi dan pengendalian (benchmarking, penetapan target baru pada RTM)?</t>
  </si>
  <si>
    <t xml:space="preserve">Apakah Standar "Isi Pembelajaran" telah ditetapkan secara resmi (SK Rektor), disosialisasikan ke unit terkait, dan target/indikatornya memenuhi atau melampaui SN-Dikti?</t>
  </si>
  <si>
    <t xml:space="preserve">Apakah pelaksanaan Standar "Isi Pembelajaran" mengacu pada SOP/pedoman pelaksanaan yang berlaku dan didukung bukti/dokumen pelaksanaan yang memadai?</t>
  </si>
  <si>
    <t xml:space="preserve">Apakah evaluasi capaian Standar "Isi Pembelajaran" dilakukan secara berkala (AMAI/EMI) sesuai jadwal Manual Evaluasi SPMI USS, dan hasilnya terdokumentasi serta dilaporkan?</t>
  </si>
  <si>
    <t xml:space="preserve">Apakah setiap penyimpangan/ketidaktercapaian Standar "Isi Pembelajaran" ditindaklanjuti dengan tindakan pengendalian (koreksi) yang terdokumentasi dan tepat waktu?</t>
  </si>
  <si>
    <t xml:space="preserve">Apakah dilakukan peningkatan/revisi Standar "Isi Pembelajaran" berdasarkan hasil evaluasi dan pengendalian (benchmarking, penetapan target baru pada RTM)?</t>
  </si>
  <si>
    <t xml:space="preserve">Apakah Standar "Proses Pembelajaran" telah ditetapkan secara resmi (SK Rektor), disosialisasikan ke unit terkait, dan target/indikatornya memenuhi atau melampaui SN-Dikti?</t>
  </si>
  <si>
    <t xml:space="preserve">Apakah pelaksanaan Standar "Proses Pembelajaran" mengacu pada SOP/pedoman pelaksanaan yang berlaku dan didukung bukti/dokumen pelaksanaan yang memadai?</t>
  </si>
  <si>
    <t xml:space="preserve">Apakah evaluasi capaian Standar "Proses Pembelajaran" dilakukan secara berkala (AMAI/EMI) sesuai jadwal Manual Evaluasi SPMI USS, dan hasilnya terdokumentasi serta dilaporkan?</t>
  </si>
  <si>
    <t xml:space="preserve">Apakah setiap penyimpangan/ketidaktercapaian Standar "Proses Pembelajaran" ditindaklanjuti dengan tindakan pengendalian (koreksi) yang terdokumentasi dan tepat waktu?</t>
  </si>
  <si>
    <t xml:space="preserve">Apakah dilakukan peningkatan/revisi Standar "Proses Pembelajaran" berdasarkan hasil evaluasi dan pengendalian (benchmarking, penetapan target baru pada RTM)?</t>
  </si>
  <si>
    <t xml:space="preserve">Apakah Standar "Penilaian Pembelajaran" telah ditetapkan secara resmi (SK Rektor), disosialisasikan ke unit terkait, dan target/indikatornya memenuhi atau melampaui SN-Dikti?</t>
  </si>
  <si>
    <t xml:space="preserve">Apakah pelaksanaan Standar "Penilaian Pembelajaran" mengacu pada SOP/pedoman pelaksanaan yang berlaku dan didukung bukti/dokumen pelaksanaan yang memadai?</t>
  </si>
  <si>
    <t xml:space="preserve">Apakah evaluasi capaian Standar "Penilaian Pembelajaran" dilakukan secara berkala (AMAI/EMI) sesuai jadwal Manual Evaluasi SPMI USS, dan hasilnya terdokumentasi serta dilaporkan?</t>
  </si>
  <si>
    <t xml:space="preserve">Apakah setiap penyimpangan/ketidaktercapaian Standar "Penilaian Pembelajaran" ditindaklanjuti dengan tindakan pengendalian (koreksi) yang terdokumentasi dan tepat waktu?</t>
  </si>
  <si>
    <t xml:space="preserve">Apakah dilakukan peningkatan/revisi Standar "Penilaian Pembelajaran" berdasarkan hasil evaluasi dan pengendalian (benchmarking, penetapan target baru pada RTM)?</t>
  </si>
  <si>
    <t xml:space="preserve">Apakah Standar "Dosen dan Tenaga Kependidikan" telah ditetapkan secara resmi (SK Rektor), disosialisasikan ke unit terkait, dan target/indikatornya memenuhi atau melampaui SN-Dikti?</t>
  </si>
  <si>
    <t xml:space="preserve">Apakah pelaksanaan Standar "Dosen dan Tenaga Kependidikan" mengacu pada SOP/pedoman pelaksanaan yang berlaku dan didukung bukti/dokumen pelaksanaan yang memadai?</t>
  </si>
  <si>
    <t xml:space="preserve">Apakah evaluasi capaian Standar "Dosen dan Tenaga Kependidikan" dilakukan secara berkala (AMAI/EMI) sesuai jadwal Manual Evaluasi SPMI USS, dan hasilnya terdokumentasi serta dilaporkan?</t>
  </si>
  <si>
    <t xml:space="preserve">Apakah setiap penyimpangan/ketidaktercapaian Standar "Dosen dan Tenaga Kependidikan" ditindaklanjuti dengan tindakan pengendalian (koreksi) yang terdokumentasi dan tepat waktu?</t>
  </si>
  <si>
    <t xml:space="preserve">Apakah dilakukan peningkatan/revisi Standar "Dosen dan Tenaga Kependidikan" berdasarkan hasil evaluasi dan pengendalian (benchmarking, penetapan target baru pada RTM)?</t>
  </si>
  <si>
    <t xml:space="preserve">Apakah Standar "Sarana dan Prasarana Pembelajaran" telah ditetapkan secara resmi (SK Rektor), disosialisasikan ke unit terkait, dan target/indikatornya memenuhi atau melampaui SN-Dikti?</t>
  </si>
  <si>
    <t xml:space="preserve">Apakah pelaksanaan Standar "Sarana dan Prasarana Pembelajaran" mengacu pada SOP/pedoman pelaksanaan yang berlaku dan didukung bukti/dokumen pelaksanaan yang memadai?</t>
  </si>
  <si>
    <t xml:space="preserve">Apakah evaluasi capaian Standar "Sarana dan Prasarana Pembelajaran" dilakukan secara berkala (AMAI/EMI) sesuai jadwal Manual Evaluasi SPMI USS, dan hasilnya terdokumentasi serta dilaporkan?</t>
  </si>
  <si>
    <t xml:space="preserve">Apakah setiap penyimpangan/ketidaktercapaian Standar "Sarana dan Prasarana Pembelajaran" ditindaklanjuti dengan tindakan pengendalian (koreksi) yang terdokumentasi dan tepat waktu?</t>
  </si>
  <si>
    <t xml:space="preserve">Apakah dilakukan peningkatan/revisi Standar "Sarana dan Prasarana Pembelajaran" berdasarkan hasil evaluasi dan pengendalian (benchmarking, penetapan target baru pada RTM)?</t>
  </si>
  <si>
    <t xml:space="preserve">Apakah Standar "Pengelolaan Pembelajaran" telah ditetapkan secara resmi (SK Rektor), disosialisasikan ke unit terkait, dan target/indikatornya memenuhi atau melampaui SN-Dikti?</t>
  </si>
  <si>
    <t xml:space="preserve">Apakah pelaksanaan Standar "Pengelolaan Pembelajaran" mengacu pada SOP/pedoman pelaksanaan yang berlaku dan didukung bukti/dokumen pelaksanaan yang memadai?</t>
  </si>
  <si>
    <t xml:space="preserve">Apakah evaluasi capaian Standar "Pengelolaan Pembelajaran" dilakukan secara berkala (AMAI/EMI) sesuai jadwal Manual Evaluasi SPMI USS, dan hasilnya terdokumentasi serta dilaporkan?</t>
  </si>
  <si>
    <t xml:space="preserve">Apakah setiap penyimpangan/ketidaktercapaian Standar "Pengelolaan Pembelajaran" ditindaklanjuti dengan tindakan pengendalian (koreksi) yang terdokumentasi dan tepat waktu?</t>
  </si>
  <si>
    <t xml:space="preserve">Apakah dilakukan peningkatan/revisi Standar "Pengelolaan Pembelajaran" berdasarkan hasil evaluasi dan pengendalian (benchmarking, penetapan target baru pada RTM)?</t>
  </si>
  <si>
    <t xml:space="preserve">Apakah Standar "Pembiayaan Pembelajaran" telah ditetapkan secara resmi (SK Rektor), disosialisasikan ke unit terkait, dan target/indikatornya memenuhi atau melampaui SN-Dikti?</t>
  </si>
  <si>
    <t xml:space="preserve">Apakah pelaksanaan Standar "Pembiayaan Pembelajaran" mengacu pada SOP/pedoman pelaksanaan yang berlaku dan didukung bukti/dokumen pelaksanaan yang memadai?</t>
  </si>
  <si>
    <t xml:space="preserve">Apakah evaluasi capaian Standar "Pembiayaan Pembelajaran" dilakukan secara berkala (AMAI/EMI) sesuai jadwal Manual Evaluasi SPMI USS, dan hasilnya terdokumentasi serta dilaporkan?</t>
  </si>
  <si>
    <t xml:space="preserve">Apakah setiap penyimpangan/ketidaktercapaian Standar "Pembiayaan Pembelajaran" ditindaklanjuti dengan tindakan pengendalian (koreksi) yang terdokumentasi dan tepat waktu?</t>
  </si>
  <si>
    <t xml:space="preserve">Apakah dilakukan peningkatan/revisi Standar "Pembiayaan Pembelajaran" berdasarkan hasil evaluasi dan pengendalian (benchmarking, penetapan target baru pada RTM)?</t>
  </si>
  <si>
    <t xml:space="preserve">Apakah Standar "Proses Penerimaan Mahasiswa Baru" telah ditetapkan secara resmi (SK Rektor), disosialisasikan ke unit terkait, dan target/indikatornya memenuhi atau melampaui SN-Dikti?</t>
  </si>
  <si>
    <t xml:space="preserve">Apakah pelaksanaan Standar "Proses Penerimaan Mahasiswa Baru" mengacu pada SOP/pedoman pelaksanaan yang berlaku dan didukung bukti/dokumen pelaksanaan yang memadai?</t>
  </si>
  <si>
    <t xml:space="preserve">Apakah evaluasi capaian Standar "Proses Penerimaan Mahasiswa Baru" dilakukan secara berkala (AMAI/EMI) sesuai jadwal Manual Evaluasi SPMI USS, dan hasilnya terdokumentasi serta dilaporkan?</t>
  </si>
  <si>
    <t xml:space="preserve">Apakah setiap penyimpangan/ketidaktercapaian Standar "Proses Penerimaan Mahasiswa Baru" ditindaklanjuti dengan tindakan pengendalian (koreksi) yang terdokumentasi dan tepat waktu?</t>
  </si>
  <si>
    <t xml:space="preserve">Apakah dilakukan peningkatan/revisi Standar "Proses Penerimaan Mahasiswa Baru" berdasarkan hasil evaluasi dan pengendalian (benchmarking, penetapan target baru pada RTM)?</t>
  </si>
  <si>
    <t xml:space="preserve">Apakah Standar "Pembelajaran Entrepreneur" telah ditetapkan secara resmi (SK Rektor), disosialisasikan ke unit terkait, dan target/indikatornya memenuhi atau melampaui SN-Dikti?</t>
  </si>
  <si>
    <t xml:space="preserve">Apakah pelaksanaan Standar "Pembelajaran Entrepreneur" mengacu pada SOP/pedoman pelaksanaan yang berlaku dan didukung bukti/dokumen pelaksanaan yang memadai?</t>
  </si>
  <si>
    <t xml:space="preserve">Apakah evaluasi capaian Standar "Pembelajaran Entrepreneur" dilakukan secara berkala (AMAI/EMI) sesuai jadwal Manual Evaluasi SPMI USS, dan hasilnya terdokumentasi serta dilaporkan?</t>
  </si>
  <si>
    <t xml:space="preserve">Apakah setiap penyimpangan/ketidaktercapaian Standar "Pembelajaran Entrepreneur" ditindaklanjuti dengan tindakan pengendalian (koreksi) yang terdokumentasi dan tepat waktu?</t>
  </si>
  <si>
    <t xml:space="preserve">Apakah dilakukan peningkatan/revisi Standar "Pembelajaran Entrepreneur" berdasarkan hasil evaluasi dan pengendalian (benchmarking, penetapan target baru pada RTM)?</t>
  </si>
  <si>
    <t xml:space="preserve">Apakah Standar "Kemampuan Bahasa Inggris" telah ditetapkan secara resmi (SK Rektor), disosialisasikan ke unit terkait, dan target/indikatornya memenuhi atau melampaui SN-Dikti?</t>
  </si>
  <si>
    <t xml:space="preserve">Apakah pelaksanaan Standar "Kemampuan Bahasa Inggris" mengacu pada SOP/pedoman pelaksanaan yang berlaku dan didukung bukti/dokumen pelaksanaan yang memadai?</t>
  </si>
  <si>
    <t xml:space="preserve">Apakah evaluasi capaian Standar "Kemampuan Bahasa Inggris" dilakukan secara berkala (AMAI/EMI) sesuai jadwal Manual Evaluasi SPMI USS, dan hasilnya terdokumentasi serta dilaporkan?</t>
  </si>
  <si>
    <t xml:space="preserve">Apakah setiap penyimpangan/ketidaktercapaian Standar "Kemampuan Bahasa Inggris" ditindaklanjuti dengan tindakan pengendalian (koreksi) yang terdokumentasi dan tepat waktu?</t>
  </si>
  <si>
    <t xml:space="preserve">Apakah dilakukan peningkatan/revisi Standar "Kemampuan Bahasa Inggris" berdasarkan hasil evaluasi dan pengendalian (benchmarking, penetapan target baru pada RTM)?</t>
  </si>
  <si>
    <t xml:space="preserve">Apakah Standar "Kerjasama" telah ditetapkan secara resmi (SK Rektor), disosialisasikan ke unit terkait, dan target/indikatornya memenuhi atau melampaui SN-Dikti?</t>
  </si>
  <si>
    <t xml:space="preserve">Apakah pelaksanaan Standar "Kerjasama" mengacu pada SOP/pedoman pelaksanaan yang berlaku dan didukung bukti/dokumen pelaksanaan yang memadai?</t>
  </si>
  <si>
    <t xml:space="preserve">Apakah evaluasi capaian Standar "Kerjasama" dilakukan secara berkala (AMAI/EMI) sesuai jadwal Manual Evaluasi SPMI USS, dan hasilnya terdokumentasi serta dilaporkan?</t>
  </si>
  <si>
    <t xml:space="preserve">Apakah setiap penyimpangan/ketidaktercapaian Standar "Kerjasama" ditindaklanjuti dengan tindakan pengendalian (koreksi) yang terdokumentasi dan tepat waktu?</t>
  </si>
  <si>
    <t xml:space="preserve">Apakah dilakukan peningkatan/revisi Standar "Kerjasama" berdasarkan hasil evaluasi dan pengendalian (benchmarking, penetapan target baru pada RTM)?</t>
  </si>
  <si>
    <t xml:space="preserve">Apakah Standar "Merdeka Belajar Kampus Merdeka (MBKM)" telah ditetapkan secara resmi (SK Rektor), disosialisasikan ke unit terkait, dan target/indikatornya memenuhi atau melampaui SN-Dikti?</t>
  </si>
  <si>
    <t xml:space="preserve">Apakah pelaksanaan Standar "Merdeka Belajar Kampus Merdeka (MBKM)" mengacu pada SOP/pedoman pelaksanaan yang berlaku dan didukung bukti/dokumen pelaksanaan yang memadai?</t>
  </si>
  <si>
    <t xml:space="preserve">Apakah evaluasi capaian Standar "Merdeka Belajar Kampus Merdeka (MBKM)" dilakukan secara berkala (AMAI/EMI) sesuai jadwal Manual Evaluasi SPMI USS, dan hasilnya terdokumentasi serta dilaporkan?</t>
  </si>
  <si>
    <t xml:space="preserve">Apakah setiap penyimpangan/ketidaktercapaian Standar "Merdeka Belajar Kampus Merdeka (MBKM)" ditindaklanjuti dengan tindakan pengendalian (koreksi) yang terdokumentasi dan tepat waktu?</t>
  </si>
  <si>
    <t xml:space="preserve">Apakah dilakukan peningkatan/revisi Standar "Merdeka Belajar Kampus Merdeka (MBKM)" berdasarkan hasil evaluasi dan pengendalian (benchmarking, penetapan target baru pada RTM)?</t>
  </si>
  <si>
    <t xml:space="preserve">Penelitian</t>
  </si>
  <si>
    <t xml:space="preserve">Apakah Standar "Hasil Penelitian" telah ditetapkan secara resmi (SK Rektor), disosialisasikan ke unit terkait, dan target/indikatornya memenuhi atau melampaui SN-Dikti?</t>
  </si>
  <si>
    <t xml:space="preserve">Apakah pelaksanaan Standar "Hasil Penelitian" mengacu pada SOP/pedoman pelaksanaan yang berlaku dan didukung bukti/dokumen pelaksanaan yang memadai?</t>
  </si>
  <si>
    <t xml:space="preserve">Apakah evaluasi capaian Standar "Hasil Penelitian" dilakukan secara berkala (AMAI/EMI) sesuai jadwal Manual Evaluasi SPMI USS, dan hasilnya terdokumentasi serta dilaporkan?</t>
  </si>
  <si>
    <t xml:space="preserve">Apakah setiap penyimpangan/ketidaktercapaian Standar "Hasil Penelitian" ditindaklanjuti dengan tindakan pengendalian (koreksi) yang terdokumentasi dan tepat waktu?</t>
  </si>
  <si>
    <t xml:space="preserve">Apakah dilakukan peningkatan/revisi Standar "Hasil Penelitian" berdasarkan hasil evaluasi dan pengendalian (benchmarking, penetapan target baru pada RTM)?</t>
  </si>
  <si>
    <t xml:space="preserve">Apakah Standar "Isi Penelitian" telah ditetapkan secara resmi (SK Rektor), disosialisasikan ke unit terkait, dan target/indikatornya memenuhi atau melampaui SN-Dikti?</t>
  </si>
  <si>
    <t xml:space="preserve">Apakah pelaksanaan Standar "Isi Penelitian" mengacu pada SOP/pedoman pelaksanaan yang berlaku dan didukung bukti/dokumen pelaksanaan yang memadai?</t>
  </si>
  <si>
    <t xml:space="preserve">Apakah evaluasi capaian Standar "Isi Penelitian" dilakukan secara berkala (AMAI/EMI) sesuai jadwal Manual Evaluasi SPMI USS, dan hasilnya terdokumentasi serta dilaporkan?</t>
  </si>
  <si>
    <t xml:space="preserve">Apakah setiap penyimpangan/ketidaktercapaian Standar "Isi Penelitian" ditindaklanjuti dengan tindakan pengendalian (koreksi) yang terdokumentasi dan tepat waktu?</t>
  </si>
  <si>
    <t xml:space="preserve">Apakah dilakukan peningkatan/revisi Standar "Isi Penelitian" berdasarkan hasil evaluasi dan pengendalian (benchmarking, penetapan target baru pada RTM)?</t>
  </si>
  <si>
    <t xml:space="preserve">Apakah Standar "Proses Penelitian" telah ditetapkan secara resmi (SK Rektor), disosialisasikan ke unit terkait, dan target/indikatornya memenuhi atau melampaui SN-Dikti?</t>
  </si>
  <si>
    <t xml:space="preserve">Apakah pelaksanaan Standar "Proses Penelitian" mengacu pada SOP/pedoman pelaksanaan yang berlaku dan didukung bukti/dokumen pelaksanaan yang memadai?</t>
  </si>
  <si>
    <t xml:space="preserve">Apakah evaluasi capaian Standar "Proses Penelitian" dilakukan secara berkala (AMAI/EMI) sesuai jadwal Manual Evaluasi SPMI USS, dan hasilnya terdokumentasi serta dilaporkan?</t>
  </si>
  <si>
    <t xml:space="preserve">Apakah setiap penyimpangan/ketidaktercapaian Standar "Proses Penelitian" ditindaklanjuti dengan tindakan pengendalian (koreksi) yang terdokumentasi dan tepat waktu?</t>
  </si>
  <si>
    <t xml:space="preserve">Apakah dilakukan peningkatan/revisi Standar "Proses Penelitian" berdasarkan hasil evaluasi dan pengendalian (benchmarking, penetapan target baru pada RTM)?</t>
  </si>
  <si>
    <t xml:space="preserve">Apakah Standar "Penilaian Penelitian" telah ditetapkan secara resmi (SK Rektor), disosialisasikan ke unit terkait, dan target/indikatornya memenuhi atau melampaui SN-Dikti?</t>
  </si>
  <si>
    <t xml:space="preserve">Apakah pelaksanaan Standar "Penilaian Penelitian" mengacu pada SOP/pedoman pelaksanaan yang berlaku dan didukung bukti/dokumen pelaksanaan yang memadai?</t>
  </si>
  <si>
    <t xml:space="preserve">Apakah evaluasi capaian Standar "Penilaian Penelitian" dilakukan secara berkala (AMAI/EMI) sesuai jadwal Manual Evaluasi SPMI USS, dan hasilnya terdokumentasi serta dilaporkan?</t>
  </si>
  <si>
    <t xml:space="preserve">Apakah setiap penyimpangan/ketidaktercapaian Standar "Penilaian Penelitian" ditindaklanjuti dengan tindakan pengendalian (koreksi) yang terdokumentasi dan tepat waktu?</t>
  </si>
  <si>
    <t xml:space="preserve">Apakah dilakukan peningkatan/revisi Standar "Penilaian Penelitian" berdasarkan hasil evaluasi dan pengendalian (benchmarking, penetapan target baru pada RTM)?</t>
  </si>
  <si>
    <t xml:space="preserve">Apakah Standar "Peneliti" telah ditetapkan secara resmi (SK Rektor), disosialisasikan ke unit terkait, dan target/indikatornya memenuhi atau melampaui SN-Dikti?</t>
  </si>
  <si>
    <t xml:space="preserve">Apakah pelaksanaan Standar "Peneliti" mengacu pada SOP/pedoman pelaksanaan yang berlaku dan didukung bukti/dokumen pelaksanaan yang memadai?</t>
  </si>
  <si>
    <t xml:space="preserve">Apakah evaluasi capaian Standar "Peneliti" dilakukan secara berkala (AMAI/EMI) sesuai jadwal Manual Evaluasi SPMI USS, dan hasilnya terdokumentasi serta dilaporkan?</t>
  </si>
  <si>
    <t xml:space="preserve">Apakah setiap penyimpangan/ketidaktercapaian Standar "Peneliti" ditindaklanjuti dengan tindakan pengendalian (koreksi) yang terdokumentasi dan tepat waktu?</t>
  </si>
  <si>
    <t xml:space="preserve">Apakah dilakukan peningkatan/revisi Standar "Peneliti" berdasarkan hasil evaluasi dan pengendalian (benchmarking, penetapan target baru pada RTM)?</t>
  </si>
  <si>
    <t xml:space="preserve">Apakah Standar "Sarana dan Prasarana Penelitian" telah ditetapkan secara resmi (SK Rektor), disosialisasikan ke unit terkait, dan target/indikatornya memenuhi atau melampaui SN-Dikti?</t>
  </si>
  <si>
    <t xml:space="preserve">Apakah pelaksanaan Standar "Sarana dan Prasarana Penelitian" mengacu pada SOP/pedoman pelaksanaan yang berlaku dan didukung bukti/dokumen pelaksanaan yang memadai?</t>
  </si>
  <si>
    <t xml:space="preserve">Apakah evaluasi capaian Standar "Sarana dan Prasarana Penelitian" dilakukan secara berkala (AMAI/EMI) sesuai jadwal Manual Evaluasi SPMI USS, dan hasilnya terdokumentasi serta dilaporkan?</t>
  </si>
  <si>
    <t xml:space="preserve">Apakah setiap penyimpangan/ketidaktercapaian Standar "Sarana dan Prasarana Penelitian" ditindaklanjuti dengan tindakan pengendalian (koreksi) yang terdokumentasi dan tepat waktu?</t>
  </si>
  <si>
    <t xml:space="preserve">Apakah dilakukan peningkatan/revisi Standar "Sarana dan Prasarana Penelitian" berdasarkan hasil evaluasi dan pengendalian (benchmarking, penetapan target baru pada RTM)?</t>
  </si>
  <si>
    <t xml:space="preserve">Apakah Standar "Pengelolaan Penelitian" telah ditetapkan secara resmi (SK Rektor), disosialisasikan ke unit terkait, dan target/indikatornya memenuhi atau melampaui SN-Dikti?</t>
  </si>
  <si>
    <t xml:space="preserve">Apakah pelaksanaan Standar "Pengelolaan Penelitian" mengacu pada SOP/pedoman pelaksanaan yang berlaku dan didukung bukti/dokumen pelaksanaan yang memadai?</t>
  </si>
  <si>
    <t xml:space="preserve">Apakah evaluasi capaian Standar "Pengelolaan Penelitian" dilakukan secara berkala (AMAI/EMI) sesuai jadwal Manual Evaluasi SPMI USS, dan hasilnya terdokumentasi serta dilaporkan?</t>
  </si>
  <si>
    <t xml:space="preserve">Apakah setiap penyimpangan/ketidaktercapaian Standar "Pengelolaan Penelitian" ditindaklanjuti dengan tindakan pengendalian (koreksi) yang terdokumentasi dan tepat waktu?</t>
  </si>
  <si>
    <t xml:space="preserve">Apakah dilakukan peningkatan/revisi Standar "Pengelolaan Penelitian" berdasarkan hasil evaluasi dan pengendalian (benchmarking, penetapan target baru pada RTM)?</t>
  </si>
  <si>
    <t xml:space="preserve">Apakah Standar "Pendanaan dan Pembiayaan Penelitian" telah ditetapkan secara resmi (SK Rektor), disosialisasikan ke unit terkait, dan target/indikatornya memenuhi atau melampaui SN-Dikti?</t>
  </si>
  <si>
    <t xml:space="preserve">Apakah pelaksanaan Standar "Pendanaan dan Pembiayaan Penelitian" mengacu pada SOP/pedoman pelaksanaan yang berlaku dan didukung bukti/dokumen pelaksanaan yang memadai?</t>
  </si>
  <si>
    <t xml:space="preserve">Apakah evaluasi capaian Standar "Pendanaan dan Pembiayaan Penelitian" dilakukan secara berkala (AMAI/EMI) sesuai jadwal Manual Evaluasi SPMI USS, dan hasilnya terdokumentasi serta dilaporkan?</t>
  </si>
  <si>
    <t xml:space="preserve">Apakah setiap penyimpangan/ketidaktercapaian Standar "Pendanaan dan Pembiayaan Penelitian" ditindaklanjuti dengan tindakan pengendalian (koreksi) yang terdokumentasi dan tepat waktu?</t>
  </si>
  <si>
    <t xml:space="preserve">Apakah dilakukan peningkatan/revisi Standar "Pendanaan dan Pembiayaan Penelitian" berdasarkan hasil evaluasi dan pengendalian (benchmarking, penetapan target baru pada RTM)?</t>
  </si>
  <si>
    <t xml:space="preserve">PkM</t>
  </si>
  <si>
    <t xml:space="preserve">Apakah Standar "Hasil PkM" telah ditetapkan secara resmi (SK Rektor), disosialisasikan ke unit terkait, dan target/indikatornya memenuhi atau melampaui SN-Dikti?</t>
  </si>
  <si>
    <t xml:space="preserve">Apakah pelaksanaan Standar "Hasil PkM" mengacu pada SOP/pedoman pelaksanaan yang berlaku dan didukung bukti/dokumen pelaksanaan yang memadai?</t>
  </si>
  <si>
    <t xml:space="preserve">Apakah evaluasi capaian Standar "Hasil PkM" dilakukan secara berkala (AMAI/EMI) sesuai jadwal Manual Evaluasi SPMI USS, dan hasilnya terdokumentasi serta dilaporkan?</t>
  </si>
  <si>
    <t xml:space="preserve">Apakah setiap penyimpangan/ketidaktercapaian Standar "Hasil PkM" ditindaklanjuti dengan tindakan pengendalian (koreksi) yang terdokumentasi dan tepat waktu?</t>
  </si>
  <si>
    <t xml:space="preserve">Apakah dilakukan peningkatan/revisi Standar "Hasil PkM" berdasarkan hasil evaluasi dan pengendalian (benchmarking, penetapan target baru pada RTM)?</t>
  </si>
  <si>
    <t xml:space="preserve">Apakah Standar "Isi PkM" telah ditetapkan secara resmi (SK Rektor), disosialisasikan ke unit terkait, dan target/indikatornya memenuhi atau melampaui SN-Dikti?</t>
  </si>
  <si>
    <t xml:space="preserve">Apakah pelaksanaan Standar "Isi PkM" mengacu pada SOP/pedoman pelaksanaan yang berlaku dan didukung bukti/dokumen pelaksanaan yang memadai?</t>
  </si>
  <si>
    <t xml:space="preserve">Apakah evaluasi capaian Standar "Isi PkM" dilakukan secara berkala (AMAI/EMI) sesuai jadwal Manual Evaluasi SPMI USS, dan hasilnya terdokumentasi serta dilaporkan?</t>
  </si>
  <si>
    <t xml:space="preserve">Apakah setiap penyimpangan/ketidaktercapaian Standar "Isi PkM" ditindaklanjuti dengan tindakan pengendalian (koreksi) yang terdokumentasi dan tepat waktu?</t>
  </si>
  <si>
    <t xml:space="preserve">Apakah dilakukan peningkatan/revisi Standar "Isi PkM" berdasarkan hasil evaluasi dan pengendalian (benchmarking, penetapan target baru pada RTM)?</t>
  </si>
  <si>
    <t xml:space="preserve">Apakah Standar "Proses PkM" telah ditetapkan secara resmi (SK Rektor), disosialisasikan ke unit terkait, dan target/indikatornya memenuhi atau melampaui SN-Dikti?</t>
  </si>
  <si>
    <t xml:space="preserve">Apakah pelaksanaan Standar "Proses PkM" mengacu pada SOP/pedoman pelaksanaan yang berlaku dan didukung bukti/dokumen pelaksanaan yang memadai?</t>
  </si>
  <si>
    <t xml:space="preserve">Apakah evaluasi capaian Standar "Proses PkM" dilakukan secara berkala (AMAI/EMI) sesuai jadwal Manual Evaluasi SPMI USS, dan hasilnya terdokumentasi serta dilaporkan?</t>
  </si>
  <si>
    <t xml:space="preserve">Apakah setiap penyimpangan/ketidaktercapaian Standar "Proses PkM" ditindaklanjuti dengan tindakan pengendalian (koreksi) yang terdokumentasi dan tepat waktu?</t>
  </si>
  <si>
    <t xml:space="preserve">Apakah dilakukan peningkatan/revisi Standar "Proses PkM" berdasarkan hasil evaluasi dan pengendalian (benchmarking, penetapan target baru pada RTM)?</t>
  </si>
  <si>
    <t xml:space="preserve">Apakah Standar "Penilaian PkM" telah ditetapkan secara resmi (SK Rektor), disosialisasikan ke unit terkait, dan target/indikatornya memenuhi atau melampaui SN-Dikti?</t>
  </si>
  <si>
    <t xml:space="preserve">Apakah pelaksanaan Standar "Penilaian PkM" mengacu pada SOP/pedoman pelaksanaan yang berlaku dan didukung bukti/dokumen pelaksanaan yang memadai?</t>
  </si>
  <si>
    <t xml:space="preserve">Apakah evaluasi capaian Standar "Penilaian PkM" dilakukan secara berkala (AMAI/EMI) sesuai jadwal Manual Evaluasi SPMI USS, dan hasilnya terdokumentasi serta dilaporkan?</t>
  </si>
  <si>
    <t xml:space="preserve">Apakah setiap penyimpangan/ketidaktercapaian Standar "Penilaian PkM" ditindaklanjuti dengan tindakan pengendalian (koreksi) yang terdokumentasi dan tepat waktu?</t>
  </si>
  <si>
    <t xml:space="preserve">Apakah dilakukan peningkatan/revisi Standar "Penilaian PkM" berdasarkan hasil evaluasi dan pengendalian (benchmarking, penetapan target baru pada RTM)?</t>
  </si>
  <si>
    <t xml:space="preserve">Apakah Standar "Pelaksana PkM" telah ditetapkan secara resmi (SK Rektor), disosialisasikan ke unit terkait, dan target/indikatornya memenuhi atau melampaui SN-Dikti?</t>
  </si>
  <si>
    <t xml:space="preserve">Apakah pelaksanaan Standar "Pelaksana PkM" mengacu pada SOP/pedoman pelaksanaan yang berlaku dan didukung bukti/dokumen pelaksanaan yang memadai?</t>
  </si>
  <si>
    <t xml:space="preserve">Apakah evaluasi capaian Standar "Pelaksana PkM" dilakukan secara berkala (AMAI/EMI) sesuai jadwal Manual Evaluasi SPMI USS, dan hasilnya terdokumentasi serta dilaporkan?</t>
  </si>
  <si>
    <t xml:space="preserve">Apakah setiap penyimpangan/ketidaktercapaian Standar "Pelaksana PkM" ditindaklanjuti dengan tindakan pengendalian (koreksi) yang terdokumentasi dan tepat waktu?</t>
  </si>
  <si>
    <t xml:space="preserve">Apakah dilakukan peningkatan/revisi Standar "Pelaksana PkM" berdasarkan hasil evaluasi dan pengendalian (benchmarking, penetapan target baru pada RTM)?</t>
  </si>
  <si>
    <t xml:space="preserve">Apakah Standar "Sarana dan Prasarana PkM" telah ditetapkan secara resmi (SK Rektor), disosialisasikan ke unit terkait, dan target/indikatornya memenuhi atau melampaui SN-Dikti?</t>
  </si>
  <si>
    <t xml:space="preserve">Apakah pelaksanaan Standar "Sarana dan Prasarana PkM" mengacu pada SOP/pedoman pelaksanaan yang berlaku dan didukung bukti/dokumen pelaksanaan yang memadai?</t>
  </si>
  <si>
    <t xml:space="preserve">Apakah evaluasi capaian Standar "Sarana dan Prasarana PkM" dilakukan secara berkala (AMAI/EMI) sesuai jadwal Manual Evaluasi SPMI USS, dan hasilnya terdokumentasi serta dilaporkan?</t>
  </si>
  <si>
    <t xml:space="preserve">Apakah setiap penyimpangan/ketidaktercapaian Standar "Sarana dan Prasarana PkM" ditindaklanjuti dengan tindakan pengendalian (koreksi) yang terdokumentasi dan tepat waktu?</t>
  </si>
  <si>
    <t xml:space="preserve">Apakah dilakukan peningkatan/revisi Standar "Sarana dan Prasarana PkM" berdasarkan hasil evaluasi dan pengendalian (benchmarking, penetapan target baru pada RTM)?</t>
  </si>
  <si>
    <t xml:space="preserve">Apakah Standar "Pengelolaan PkM" telah ditetapkan secara resmi (SK Rektor), disosialisasikan ke unit terkait, dan target/indikatornya memenuhi atau melampaui SN-Dikti?</t>
  </si>
  <si>
    <t xml:space="preserve">Apakah pelaksanaan Standar "Pengelolaan PkM" mengacu pada SOP/pedoman pelaksanaan yang berlaku dan didukung bukti/dokumen pelaksanaan yang memadai?</t>
  </si>
  <si>
    <t xml:space="preserve">Apakah evaluasi capaian Standar "Pengelolaan PkM" dilakukan secara berkala (AMAI/EMI) sesuai jadwal Manual Evaluasi SPMI USS, dan hasilnya terdokumentasi serta dilaporkan?</t>
  </si>
  <si>
    <t xml:space="preserve">Apakah setiap penyimpangan/ketidaktercapaian Standar "Pengelolaan PkM" ditindaklanjuti dengan tindakan pengendalian (koreksi) yang terdokumentasi dan tepat waktu?</t>
  </si>
  <si>
    <t xml:space="preserve">Apakah dilakukan peningkatan/revisi Standar "Pengelolaan PkM" berdasarkan hasil evaluasi dan pengendalian (benchmarking, penetapan target baru pada RTM)?</t>
  </si>
  <si>
    <t xml:space="preserve">Apakah Standar "Pendanaan dan Pembiayaan PkM" telah ditetapkan secara resmi (SK Rektor), disosialisasikan ke unit terkait, dan target/indikatornya memenuhi atau melampaui SN-Dikti?</t>
  </si>
  <si>
    <t xml:space="preserve">Apakah pelaksanaan Standar "Pendanaan dan Pembiayaan PkM" mengacu pada SOP/pedoman pelaksanaan yang berlaku dan didukung bukti/dokumen pelaksanaan yang memadai?</t>
  </si>
  <si>
    <t xml:space="preserve">Apakah evaluasi capaian Standar "Pendanaan dan Pembiayaan PkM" dilakukan secara berkala (AMAI/EMI) sesuai jadwal Manual Evaluasi SPMI USS, dan hasilnya terdokumentasi serta dilaporkan?</t>
  </si>
  <si>
    <t xml:space="preserve">Apakah setiap penyimpangan/ketidaktercapaian Standar "Pendanaan dan Pembiayaan PkM" ditindaklanjuti dengan tindakan pengendalian (koreksi) yang terdokumentasi dan tepat waktu?</t>
  </si>
  <si>
    <t xml:space="preserve">Apakah dilakukan peningkatan/revisi Standar "Pendanaan dan Pembiayaan PkM" berdasarkan hasil evaluasi dan pengendalian (benchmarking, penetapan target baru pada RTM)?</t>
  </si>
  <si>
    <t xml:space="preserve">Tambahan Penelitian</t>
  </si>
  <si>
    <t xml:space="preserve">Apakah Standar "Penggunaan TIK Penelitian" telah ditetapkan secara resmi (SK Rektor), disosialisasikan ke unit terkait, dan target/indikatornya memenuhi atau melampaui SN-Dikti?</t>
  </si>
  <si>
    <t xml:space="preserve">Apakah pelaksanaan Standar "Penggunaan TIK Penelitian" mengacu pada SOP/pedoman pelaksanaan yang berlaku dan didukung bukti/dokumen pelaksanaan yang memadai?</t>
  </si>
  <si>
    <t xml:space="preserve">Apakah evaluasi capaian Standar "Penggunaan TIK Penelitian" dilakukan secara berkala (AMAI/EMI) sesuai jadwal Manual Evaluasi SPMI USS, dan hasilnya terdokumentasi serta dilaporkan?</t>
  </si>
  <si>
    <t xml:space="preserve">Apakah setiap penyimpangan/ketidaktercapaian Standar "Penggunaan TIK Penelitian" ditindaklanjuti dengan tindakan pengendalian (koreksi) yang terdokumentasi dan tepat waktu?</t>
  </si>
  <si>
    <t xml:space="preserve">Apakah dilakukan peningkatan/revisi Standar "Penggunaan TIK Penelitian" berdasarkan hasil evaluasi dan pengendalian (benchmarking, penetapan target baru pada RTM)?</t>
  </si>
  <si>
    <t xml:space="preserve">Apakah Standar "Penugasan Dosen Penelitian" telah ditetapkan secara resmi (SK Rektor), disosialisasikan ke unit terkait, dan target/indikatornya memenuhi atau melampaui SN-Dikti?</t>
  </si>
  <si>
    <t xml:space="preserve">Apakah pelaksanaan Standar "Penugasan Dosen Penelitian" mengacu pada SOP/pedoman pelaksanaan yang berlaku dan didukung bukti/dokumen pelaksanaan yang memadai?</t>
  </si>
  <si>
    <t xml:space="preserve">Apakah evaluasi capaian Standar "Penugasan Dosen Penelitian" dilakukan secara berkala (AMAI/EMI) sesuai jadwal Manual Evaluasi SPMI USS, dan hasilnya terdokumentasi serta dilaporkan?</t>
  </si>
  <si>
    <t xml:space="preserve">Apakah setiap penyimpangan/ketidaktercapaian Standar "Penugasan Dosen Penelitian" ditindaklanjuti dengan tindakan pengendalian (koreksi) yang terdokumentasi dan tepat waktu?</t>
  </si>
  <si>
    <t xml:space="preserve">Apakah dilakukan peningkatan/revisi Standar "Penugasan Dosen Penelitian" berdasarkan hasil evaluasi dan pengendalian (benchmarking, penetapan target baru pada RTM)?</t>
  </si>
  <si>
    <t xml:space="preserve">Apakah Standar "Pembiayaan Penelitian" telah ditetapkan secara resmi (SK Rektor), disosialisasikan ke unit terkait, dan target/indikatornya memenuhi atau melampaui SN-Dikti?</t>
  </si>
  <si>
    <t xml:space="preserve">Apakah pelaksanaan Standar "Pembiayaan Penelitian" mengacu pada SOP/pedoman pelaksanaan yang berlaku dan didukung bukti/dokumen pelaksanaan yang memadai?</t>
  </si>
  <si>
    <t xml:space="preserve">Apakah evaluasi capaian Standar "Pembiayaan Penelitian" dilakukan secara berkala (AMAI/EMI) sesuai jadwal Manual Evaluasi SPMI USS, dan hasilnya terdokumentasi serta dilaporkan?</t>
  </si>
  <si>
    <t xml:space="preserve">Apakah setiap penyimpangan/ketidaktercapaian Standar "Pembiayaan Penelitian" ditindaklanjuti dengan tindakan pengendalian (koreksi) yang terdokumentasi dan tepat waktu?</t>
  </si>
  <si>
    <t xml:space="preserve">Apakah dilakukan peningkatan/revisi Standar "Pembiayaan Penelitian" berdasarkan hasil evaluasi dan pengendalian (benchmarking, penetapan target baru pada RTM)?</t>
  </si>
  <si>
    <t xml:space="preserve">Apakah Standar "Akses Sarana dan Prasarana Penelitian" telah ditetapkan secara resmi (SK Rektor), disosialisasikan ke unit terkait, dan target/indikatornya memenuhi atau melampaui SN-Dikti?</t>
  </si>
  <si>
    <t xml:space="preserve">Apakah pelaksanaan Standar "Akses Sarana dan Prasarana Penelitian" mengacu pada SOP/pedoman pelaksanaan yang berlaku dan didukung bukti/dokumen pelaksanaan yang memadai?</t>
  </si>
  <si>
    <t xml:space="preserve">Apakah evaluasi capaian Standar "Akses Sarana dan Prasarana Penelitian" dilakukan secara berkala (AMAI/EMI) sesuai jadwal Manual Evaluasi SPMI USS, dan hasilnya terdokumentasi serta dilaporkan?</t>
  </si>
  <si>
    <t xml:space="preserve">Apakah setiap penyimpangan/ketidaktercapaian Standar "Akses Sarana dan Prasarana Penelitian" ditindaklanjuti dengan tindakan pengendalian (koreksi) yang terdokumentasi dan tepat waktu?</t>
  </si>
  <si>
    <t xml:space="preserve">Apakah dilakukan peningkatan/revisi Standar "Akses Sarana dan Prasarana Penelitian" berdasarkan hasil evaluasi dan pengendalian (benchmarking, penetapan target baru pada RTM)?</t>
  </si>
  <si>
    <t xml:space="preserve">Apakah Standar "Penilaian Penelitian (versi 53/2023)" telah ditetapkan secara resmi (SK Rektor), disosialisasikan ke unit terkait, dan target/indikatornya memenuhi atau melampaui SN-Dikti?</t>
  </si>
  <si>
    <t xml:space="preserve">Apakah pelaksanaan Standar "Penilaian Penelitian (versi 53/2023)" mengacu pada SOP/pedoman pelaksanaan yang berlaku dan didukung bukti/dokumen pelaksanaan yang memadai?</t>
  </si>
  <si>
    <t xml:space="preserve">Apakah evaluasi capaian Standar "Penilaian Penelitian (versi 53/2023)" dilakukan secara berkala (AMAI/EMI) sesuai jadwal Manual Evaluasi SPMI USS, dan hasilnya terdokumentasi serta dilaporkan?</t>
  </si>
  <si>
    <t xml:space="preserve">Apakah setiap penyimpangan/ketidaktercapaian Standar "Penilaian Penelitian (versi 53/2023)" ditindaklanjuti dengan tindakan pengendalian (koreksi) yang terdokumentasi dan tepat waktu?</t>
  </si>
  <si>
    <t xml:space="preserve">Apakah dilakukan peningkatan/revisi Standar "Penilaian Penelitian (versi 53/2023)" berdasarkan hasil evaluasi dan pengendalian (benchmarking, penetapan target baru pada RTM)?</t>
  </si>
  <si>
    <t xml:space="preserve">Apakah Standar "Proses Pengawasan Penelitian" telah ditetapkan secara resmi (SK Rektor), disosialisasikan ke unit terkait, dan target/indikatornya memenuhi atau melampaui SN-Dikti?</t>
  </si>
  <si>
    <t xml:space="preserve">Apakah pelaksanaan Standar "Proses Pengawasan Penelitian" mengacu pada SOP/pedoman pelaksanaan yang berlaku dan didukung bukti/dokumen pelaksanaan yang memadai?</t>
  </si>
  <si>
    <t xml:space="preserve">Apakah evaluasi capaian Standar "Proses Pengawasan Penelitian" dilakukan secara berkala (AMAI/EMI) sesuai jadwal Manual Evaluasi SPMI USS, dan hasilnya terdokumentasi serta dilaporkan?</t>
  </si>
  <si>
    <t xml:space="preserve">Apakah setiap penyimpangan/ketidaktercapaian Standar "Proses Pengawasan Penelitian" ditindaklanjuti dengan tindakan pengendalian (koreksi) yang terdokumentasi dan tepat waktu?</t>
  </si>
  <si>
    <t xml:space="preserve">Apakah dilakukan peningkatan/revisi Standar "Proses Pengawasan Penelitian" berdasarkan hasil evaluasi dan pengendalian (benchmarking, penetapan target baru pada RTM)?</t>
  </si>
  <si>
    <t xml:space="preserve">Apakah Standar "Proses Pelaksanaan Penelitian (label situs: Pengendalian Kegiatan Penelitian)" telah ditetapkan secara resmi (SK Rektor), disosialisasikan ke unit terkait, dan target/indikatornya memenuhi atau melampaui SN-Dikti?</t>
  </si>
  <si>
    <t xml:space="preserve">Apakah pelaksanaan Standar "Proses Pelaksanaan Penelitian (label situs: Pengendalian Kegiatan Penelitian)" mengacu pada SOP/pedoman pelaksanaan yang berlaku dan didukung bukti/dokumen pelaksanaan yang memadai?</t>
  </si>
  <si>
    <t xml:space="preserve">Apakah evaluasi capaian Standar "Proses Pelaksanaan Penelitian (label situs: Pengendalian Kegiatan Penelitian)" dilakukan secara berkala (AMAI/EMI) sesuai jadwal Manual Evaluasi SPMI USS, dan hasilnya terdokumentasi serta dilaporkan?</t>
  </si>
  <si>
    <t xml:space="preserve">Apakah setiap penyimpangan/ketidaktercapaian Standar "Proses Pelaksanaan Penelitian (label situs: Pengendalian Kegiatan Penelitian)" ditindaklanjuti dengan tindakan pengendalian (koreksi) yang terdokumentasi dan tepat waktu?</t>
  </si>
  <si>
    <t xml:space="preserve">Apakah dilakukan peningkatan/revisi Standar "Proses Pelaksanaan Penelitian (label situs: Pengendalian Kegiatan Penelitian)" berdasarkan hasil evaluasi dan pengendalian (benchmarking, penetapan target baru pada RTM)?</t>
  </si>
  <si>
    <t xml:space="preserve">Apakah Standar "Perencanaan Penelitian" telah ditetapkan secara resmi (SK Rektor), disosialisasikan ke unit terkait, dan target/indikatornya memenuhi atau melampaui SN-Dikti?</t>
  </si>
  <si>
    <t xml:space="preserve">Apakah pelaksanaan Standar "Perencanaan Penelitian" mengacu pada SOP/pedoman pelaksanaan yang berlaku dan didukung bukti/dokumen pelaksanaan yang memadai?</t>
  </si>
  <si>
    <t xml:space="preserve">Apakah evaluasi capaian Standar "Perencanaan Penelitian" dilakukan secara berkala (AMAI/EMI) sesuai jadwal Manual Evaluasi SPMI USS, dan hasilnya terdokumentasi serta dilaporkan?</t>
  </si>
  <si>
    <t xml:space="preserve">Apakah setiap penyimpangan/ketidaktercapaian Standar "Perencanaan Penelitian" ditindaklanjuti dengan tindakan pengendalian (koreksi) yang terdokumentasi dan tepat waktu?</t>
  </si>
  <si>
    <t xml:space="preserve">Apakah dilakukan peningkatan/revisi Standar "Perencanaan Penelitian" berdasarkan hasil evaluasi dan pengendalian (benchmarking, penetapan target baru pada RTM)?</t>
  </si>
  <si>
    <t xml:space="preserve">Apakah Standar "Mutu Luaran Penelitian / Relevansi Penelitian" telah ditetapkan secara resmi (SK Rektor), disosialisasikan ke unit terkait, dan target/indikatornya memenuhi atau melampaui SN-Dikti?</t>
  </si>
  <si>
    <t xml:space="preserve">Apakah pelaksanaan Standar "Mutu Luaran Penelitian / Relevansi Penelitian" mengacu pada SOP/pedoman pelaksanaan yang berlaku dan didukung bukti/dokumen pelaksanaan yang memadai?</t>
  </si>
  <si>
    <t xml:space="preserve">Apakah evaluasi capaian Standar "Mutu Luaran Penelitian / Relevansi Penelitian" dilakukan secara berkala (AMAI/EMI) sesuai jadwal Manual Evaluasi SPMI USS, dan hasilnya terdokumentasi serta dilaporkan?</t>
  </si>
  <si>
    <t xml:space="preserve">Apakah setiap penyimpangan/ketidaktercapaian Standar "Mutu Luaran Penelitian / Relevansi Penelitian" ditindaklanjuti dengan tindakan pengendalian (koreksi) yang terdokumentasi dan tepat waktu?</t>
  </si>
  <si>
    <t xml:space="preserve">Apakah dilakukan peningkatan/revisi Standar "Mutu Luaran Penelitian / Relevansi Penelitian" berdasarkan hasil evaluasi dan pengendalian (benchmarking, penetapan target baru pada RTM)?</t>
  </si>
  <si>
    <t xml:space="preserve">Tambahan PkM</t>
  </si>
  <si>
    <t xml:space="preserve">Apakah Standar "Akses Sarana PkM" telah ditetapkan secara resmi (SK Rektor), disosialisasikan ke unit terkait, dan target/indikatornya memenuhi atau melampaui SN-Dikti?</t>
  </si>
  <si>
    <t xml:space="preserve">Apakah pelaksanaan Standar "Akses Sarana PkM" mengacu pada SOP/pedoman pelaksanaan yang berlaku dan didukung bukti/dokumen pelaksanaan yang memadai?</t>
  </si>
  <si>
    <t xml:space="preserve">Apakah evaluasi capaian Standar "Akses Sarana PkM" dilakukan secara berkala (AMAI/EMI) sesuai jadwal Manual Evaluasi SPMI USS, dan hasilnya terdokumentasi serta dilaporkan?</t>
  </si>
  <si>
    <t xml:space="preserve">Apakah setiap penyimpangan/ketidaktercapaian Standar "Akses Sarana PkM" ditindaklanjuti dengan tindakan pengendalian (koreksi) yang terdokumentasi dan tepat waktu?</t>
  </si>
  <si>
    <t xml:space="preserve">Apakah dilakukan peningkatan/revisi Standar "Akses Sarana PkM" berdasarkan hasil evaluasi dan pengendalian (benchmarking, penetapan target baru pada RTM)?</t>
  </si>
  <si>
    <t xml:space="preserve">Apakah Standar "Prasarana PkM" telah ditetapkan secara resmi (SK Rektor), disosialisasikan ke unit terkait, dan target/indikatornya memenuhi atau melampaui SN-Dikti?</t>
  </si>
  <si>
    <t xml:space="preserve">Apakah pelaksanaan Standar "Prasarana PkM" mengacu pada SOP/pedoman pelaksanaan yang berlaku dan didukung bukti/dokumen pelaksanaan yang memadai?</t>
  </si>
  <si>
    <t xml:space="preserve">Apakah evaluasi capaian Standar "Prasarana PkM" dilakukan secara berkala (AMAI/EMI) sesuai jadwal Manual Evaluasi SPMI USS, dan hasilnya terdokumentasi serta dilaporkan?</t>
  </si>
  <si>
    <t xml:space="preserve">Apakah setiap penyimpangan/ketidaktercapaian Standar "Prasarana PkM" ditindaklanjuti dengan tindakan pengendalian (koreksi) yang terdokumentasi dan tepat waktu?</t>
  </si>
  <si>
    <t xml:space="preserve">Apakah dilakukan peningkatan/revisi Standar "Prasarana PkM" berdasarkan hasil evaluasi dan pengendalian (benchmarking, penetapan target baru pada RTM)?</t>
  </si>
  <si>
    <t xml:space="preserve">Apakah Standar "Pembiayaan PkM" telah ditetapkan secara resmi (SK Rektor), disosialisasikan ke unit terkait, dan target/indikatornya memenuhi atau melampaui SN-Dikti?</t>
  </si>
  <si>
    <t xml:space="preserve">Apakah pelaksanaan Standar "Pembiayaan PkM" mengacu pada SOP/pedoman pelaksanaan yang berlaku dan didukung bukti/dokumen pelaksanaan yang memadai?</t>
  </si>
  <si>
    <t xml:space="preserve">Apakah evaluasi capaian Standar "Pembiayaan PkM" dilakukan secara berkala (AMAI/EMI) sesuai jadwal Manual Evaluasi SPMI USS, dan hasilnya terdokumentasi serta dilaporkan?</t>
  </si>
  <si>
    <t xml:space="preserve">Apakah setiap penyimpangan/ketidaktercapaian Standar "Pembiayaan PkM" ditindaklanjuti dengan tindakan pengendalian (koreksi) yang terdokumentasi dan tepat waktu?</t>
  </si>
  <si>
    <t xml:space="preserve">Apakah dilakukan peningkatan/revisi Standar "Pembiayaan PkM" berdasarkan hasil evaluasi dan pengendalian (benchmarking, penetapan target baru pada RTM)?</t>
  </si>
  <si>
    <t xml:space="preserve">Apakah Standar "Penugasan PkM Dosen" telah ditetapkan secara resmi (SK Rektor), disosialisasikan ke unit terkait, dan target/indikatornya memenuhi atau melampaui SN-Dikti?</t>
  </si>
  <si>
    <t xml:space="preserve">Apakah pelaksanaan Standar "Penugasan PkM Dosen" mengacu pada SOP/pedoman pelaksanaan yang berlaku dan didukung bukti/dokumen pelaksanaan yang memadai?</t>
  </si>
  <si>
    <t xml:space="preserve">Apakah evaluasi capaian Standar "Penugasan PkM Dosen" dilakukan secara berkala (AMAI/EMI) sesuai jadwal Manual Evaluasi SPMI USS, dan hasilnya terdokumentasi serta dilaporkan?</t>
  </si>
  <si>
    <t xml:space="preserve">Apakah setiap penyimpangan/ketidaktercapaian Standar "Penugasan PkM Dosen" ditindaklanjuti dengan tindakan pengendalian (koreksi) yang terdokumentasi dan tepat waktu?</t>
  </si>
  <si>
    <t xml:space="preserve">Apakah dilakukan peningkatan/revisi Standar "Penugasan PkM Dosen" berdasarkan hasil evaluasi dan pengendalian (benchmarking, penetapan target baru pada RTM)?</t>
  </si>
  <si>
    <t xml:space="preserve">Apakah Standar "Penggunaan TIK PkM" telah ditetapkan secara resmi (SK Rektor), disosialisasikan ke unit terkait, dan target/indikatornya memenuhi atau melampaui SN-Dikti?</t>
  </si>
  <si>
    <t xml:space="preserve">Apakah pelaksanaan Standar "Penggunaan TIK PkM" mengacu pada SOP/pedoman pelaksanaan yang berlaku dan didukung bukti/dokumen pelaksanaan yang memadai?</t>
  </si>
  <si>
    <t xml:space="preserve">Apakah evaluasi capaian Standar "Penggunaan TIK PkM" dilakukan secara berkala (AMAI/EMI) sesuai jadwal Manual Evaluasi SPMI USS, dan hasilnya terdokumentasi serta dilaporkan?</t>
  </si>
  <si>
    <t xml:space="preserve">Apakah setiap penyimpangan/ketidaktercapaian Standar "Penggunaan TIK PkM" ditindaklanjuti dengan tindakan pengendalian (koreksi) yang terdokumentasi dan tepat waktu?</t>
  </si>
  <si>
    <t xml:space="preserve">Apakah dilakukan peningkatan/revisi Standar "Penggunaan TIK PkM" berdasarkan hasil evaluasi dan pengendalian (benchmarking, penetapan target baru pada RTM)?</t>
  </si>
  <si>
    <t xml:space="preserve">Apakah Standar "Perencanaan PkM" telah ditetapkan secara resmi (SK Rektor), disosialisasikan ke unit terkait, dan target/indikatornya memenuhi atau melampaui SN-Dikti?</t>
  </si>
  <si>
    <t xml:space="preserve">Apakah pelaksanaan Standar "Perencanaan PkM" mengacu pada SOP/pedoman pelaksanaan yang berlaku dan didukung bukti/dokumen pelaksanaan yang memadai?</t>
  </si>
  <si>
    <t xml:space="preserve">Apakah evaluasi capaian Standar "Perencanaan PkM" dilakukan secara berkala (AMAI/EMI) sesuai jadwal Manual Evaluasi SPMI USS, dan hasilnya terdokumentasi serta dilaporkan?</t>
  </si>
  <si>
    <t xml:space="preserve">Apakah setiap penyimpangan/ketidaktercapaian Standar "Perencanaan PkM" ditindaklanjuti dengan tindakan pengendalian (koreksi) yang terdokumentasi dan tepat waktu?</t>
  </si>
  <si>
    <t xml:space="preserve">Apakah dilakukan peningkatan/revisi Standar "Perencanaan PkM" berdasarkan hasil evaluasi dan pengendalian (benchmarking, penetapan target baru pada RTM)?</t>
  </si>
  <si>
    <t xml:space="preserve">Apakah Standar "Pelaksanaan PkM" telah ditetapkan secara resmi (SK Rektor), disosialisasikan ke unit terkait, dan target/indikatornya memenuhi atau melampaui SN-Dikti?</t>
  </si>
  <si>
    <t xml:space="preserve">Apakah pelaksanaan Standar "Pelaksanaan PkM" mengacu pada SOP/pedoman pelaksanaan yang berlaku dan didukung bukti/dokumen pelaksanaan yang memadai?</t>
  </si>
  <si>
    <t xml:space="preserve">Apakah evaluasi capaian Standar "Pelaksanaan PkM" dilakukan secara berkala (AMAI/EMI) sesuai jadwal Manual Evaluasi SPMI USS, dan hasilnya terdokumentasi serta dilaporkan?</t>
  </si>
  <si>
    <t xml:space="preserve">Apakah setiap penyimpangan/ketidaktercapaian Standar "Pelaksanaan PkM" ditindaklanjuti dengan tindakan pengendalian (koreksi) yang terdokumentasi dan tepat waktu?</t>
  </si>
  <si>
    <t xml:space="preserve">Apakah dilakukan peningkatan/revisi Standar "Pelaksanaan PkM" berdasarkan hasil evaluasi dan pengendalian (benchmarking, penetapan target baru pada RTM)?</t>
  </si>
  <si>
    <t xml:space="preserve">Apakah Standar "Pengendalian PkM" telah ditetapkan secara resmi (SK Rektor), disosialisasikan ke unit terkait, dan target/indikatornya memenuhi atau melampaui SN-Dikti?</t>
  </si>
  <si>
    <t xml:space="preserve">Apakah pelaksanaan Standar "Pengendalian PkM" mengacu pada SOP/pedoman pelaksanaan yang berlaku dan didukung bukti/dokumen pelaksanaan yang memadai?</t>
  </si>
  <si>
    <t xml:space="preserve">Apakah evaluasi capaian Standar "Pengendalian PkM" dilakukan secara berkala (AMAI/EMI) sesuai jadwal Manual Evaluasi SPMI USS, dan hasilnya terdokumentasi serta dilaporkan?</t>
  </si>
  <si>
    <t xml:space="preserve">Apakah setiap penyimpangan/ketidaktercapaian Standar "Pengendalian PkM" ditindaklanjuti dengan tindakan pengendalian (koreksi) yang terdokumentasi dan tepat waktu?</t>
  </si>
  <si>
    <t xml:space="preserve">Apakah dilakukan peningkatan/revisi Standar "Pengendalian PkM" berdasarkan hasil evaluasi dan pengendalian (benchmarking, penetapan target baru pada RTM)?</t>
  </si>
  <si>
    <t xml:space="preserve">Apakah Standar "Pengawasan PkM" telah ditetapkan secara resmi (SK Rektor), disosialisasikan ke unit terkait, dan target/indikatornya memenuhi atau melampaui SN-Dikti?</t>
  </si>
  <si>
    <t xml:space="preserve">Apakah pelaksanaan Standar "Pengawasan PkM" mengacu pada SOP/pedoman pelaksanaan yang berlaku dan didukung bukti/dokumen pelaksanaan yang memadai?</t>
  </si>
  <si>
    <t xml:space="preserve">Apakah evaluasi capaian Standar "Pengawasan PkM" dilakukan secara berkala (AMAI/EMI) sesuai jadwal Manual Evaluasi SPMI USS, dan hasilnya terdokumentasi serta dilaporkan?</t>
  </si>
  <si>
    <t xml:space="preserve">Apakah setiap penyimpangan/ketidaktercapaian Standar "Pengawasan PkM" ditindaklanjuti dengan tindakan pengendalian (koreksi) yang terdokumentasi dan tepat waktu?</t>
  </si>
  <si>
    <t xml:space="preserve">Apakah dilakukan peningkatan/revisi Standar "Pengawasan PkM" berdasarkan hasil evaluasi dan pengendalian (benchmarking, penetapan target baru pada RTM)?</t>
  </si>
  <si>
    <t xml:space="preserve">Apakah Standar "Mutu PkM" telah ditetapkan secara resmi (SK Rektor), disosialisasikan ke unit terkait, dan target/indikatornya memenuhi atau melampaui SN-Dikti?</t>
  </si>
  <si>
    <t xml:space="preserve">Apakah pelaksanaan Standar "Mutu PkM" mengacu pada SOP/pedoman pelaksanaan yang berlaku dan didukung bukti/dokumen pelaksanaan yang memadai?</t>
  </si>
  <si>
    <t xml:space="preserve">Apakah evaluasi capaian Standar "Mutu PkM" dilakukan secara berkala (AMAI/EMI) sesuai jadwal Manual Evaluasi SPMI USS, dan hasilnya terdokumentasi serta dilaporkan?</t>
  </si>
  <si>
    <t xml:space="preserve">Apakah setiap penyimpangan/ketidaktercapaian Standar "Mutu PkM" ditindaklanjuti dengan tindakan pengendalian (koreksi) yang terdokumentasi dan tepat waktu?</t>
  </si>
  <si>
    <t xml:space="preserve">Apakah dilakukan peningkatan/revisi Standar "Mutu PkM" berdasarkan hasil evaluasi dan pengendalian (benchmarking, penetapan target baru pada RTM)?</t>
  </si>
  <si>
    <t xml:space="preserve">Apakah Standar "Relevansi PkM (judul asli: Standar Kemanfaatan/Luaran Kemanfaatan Hasil Penelitian)" telah ditetapkan secara resmi (SK Rektor), disosialisasikan ke unit terkait, dan target/indikatornya memenuhi atau melampaui SN-Dikti?</t>
  </si>
  <si>
    <t xml:space="preserve">Apakah pelaksanaan Standar "Relevansi PkM (judul asli: Standar Kemanfaatan/Luaran Kemanfaatan Hasil Penelitian)" mengacu pada SOP/pedoman pelaksanaan yang berlaku dan didukung bukti/dokumen pelaksanaan yang memadai?</t>
  </si>
  <si>
    <t xml:space="preserve">Apakah evaluasi capaian Standar "Relevansi PkM (judul asli: Standar Kemanfaatan/Luaran Kemanfaatan Hasil Penelitian)" dilakukan secara berkala (AMAI/EMI) sesuai jadwal Manual Evaluasi SPMI USS, dan hasilnya terdokumentasi serta dilaporkan?</t>
  </si>
  <si>
    <t xml:space="preserve">Apakah setiap penyimpangan/ketidaktercapaian Standar "Relevansi PkM (judul asli: Standar Kemanfaatan/Luaran Kemanfaatan Hasil Penelitian)" ditindaklanjuti dengan tindakan pengendalian (koreksi) yang terdokumentasi dan tepat waktu?</t>
  </si>
  <si>
    <t xml:space="preserve">Apakah dilakukan peningkatan/revisi Standar "Relevansi PkM (judul asli: Standar Kemanfaatan/Luaran Kemanfaatan Hasil Penelitian)" berdasarkan hasil evaluasi dan pengendalian (benchmarking, penetapan target baru pada RTM)?</t>
  </si>
  <si>
    <t xml:space="preserve">INSTRUMEN AUDIT MUTU INTERNAL — UNIT KERJA NON-AKADEMIK (BUKAN STANDAR RESMI USS)</t>
  </si>
  <si>
    <t xml:space="preserve">Universitas Sumatera Selatan — untuk unit kerja non-akademik (BAUK, SDM, Keuangan, Sarpras, Kerjasama, Kemahasiswaan, dll.), BUKAN untuk Fakultas/Prodi (pakai sheet "Instrumen AMI"). 7 kategori di sini disusun GENERIK dari Pedoman Teknis SPMI 2026 — USS belum punya daftar Standar Non-Akademik resmi; sesuaikan dgn kebijakan internal. Audit non-akademik sifatnya tentatif (Manual Evaluasi MM-USS-02-03), minimal 1x/tahun. Isi hanya sel berwarna kuning.</t>
  </si>
  <si>
    <t xml:space="preserve">Kode Kategori</t>
  </si>
  <si>
    <t xml:space="preserve">Kategori Non-Akademik</t>
  </si>
  <si>
    <t xml:space="preserve">NA-01</t>
  </si>
  <si>
    <t xml:space="preserve">Organisasi dan Tata Kelola / Manajemen</t>
  </si>
  <si>
    <t xml:space="preserve">Apakah kebijakan/pengaturan "Organisasi dan Tata Kelola / Manajemen" telah ditetapkan secara resmi (SK Rektor/pedoman internal) dan disosialisasikan ke unit kerja terkait?</t>
  </si>
  <si>
    <t xml:space="preserve">Apakah pelaksanaan "Organisasi dan Tata Kelola / Manajemen" mengacu pada SOP/pedoman yang berlaku dan didukung bukti/dokumen pelaksanaan yang memadai?</t>
  </si>
  <si>
    <t xml:space="preserve">Apakah dilakukan evaluasi berkala (audit non-akademik) atas "Organisasi dan Tata Kelola / Manajemen" dan hasilnya terdokumentasi serta dilaporkan?</t>
  </si>
  <si>
    <t xml:space="preserve">Apakah penyimpangan/kekurangan pada "Organisasi dan Tata Kelola / Manajemen" ditindaklanjuti dengan tindakan pengendalian (koreksi) yang terdokumentasi dan tepat waktu?</t>
  </si>
  <si>
    <t xml:space="preserve">Apakah dilakukan peningkatan/perbaikan pada "Organisasi dan Tata Kelola / Manajemen" berdasarkan hasil evaluasi &amp; pengendalian (benchmarking, revisi kebijakan/SOP)?</t>
  </si>
  <si>
    <t xml:space="preserve">NA-02</t>
  </si>
  <si>
    <t xml:space="preserve">Kemahasiswaan</t>
  </si>
  <si>
    <t xml:space="preserve">Apakah kebijakan/pengaturan "Kemahasiswaan" telah ditetapkan secara resmi (SK Rektor/pedoman internal) dan disosialisasikan ke unit kerja terkait?</t>
  </si>
  <si>
    <t xml:space="preserve">Apakah pelaksanaan "Kemahasiswaan" mengacu pada SOP/pedoman yang berlaku dan didukung bukti/dokumen pelaksanaan yang memadai?</t>
  </si>
  <si>
    <t xml:space="preserve">Apakah dilakukan evaluasi berkala (audit non-akademik) atas "Kemahasiswaan" dan hasilnya terdokumentasi serta dilaporkan?</t>
  </si>
  <si>
    <t xml:space="preserve">Apakah penyimpangan/kekurangan pada "Kemahasiswaan" ditindaklanjuti dengan tindakan pengendalian (koreksi) yang terdokumentasi dan tepat waktu?</t>
  </si>
  <si>
    <t xml:space="preserve">Apakah dilakukan peningkatan/perbaikan pada "Kemahasiswaan" berdasarkan hasil evaluasi &amp; pengendalian (benchmarking, revisi kebijakan/SOP)?</t>
  </si>
  <si>
    <t xml:space="preserve">NA-03</t>
  </si>
  <si>
    <t xml:space="preserve">Sumber Daya Manusia (SDM / Kepegawaian)</t>
  </si>
  <si>
    <t xml:space="preserve">Apakah kebijakan/pengaturan "Sumber Daya Manusia (SDM / Kepegawaian)" telah ditetapkan secara resmi (SK Rektor/pedoman internal) dan disosialisasikan ke unit kerja terkait?</t>
  </si>
  <si>
    <t xml:space="preserve">Apakah pelaksanaan "Sumber Daya Manusia (SDM / Kepegawaian)" mengacu pada SOP/pedoman yang berlaku dan didukung bukti/dokumen pelaksanaan yang memadai?</t>
  </si>
  <si>
    <t xml:space="preserve">Apakah dilakukan evaluasi berkala (audit non-akademik) atas "Sumber Daya Manusia (SDM / Kepegawaian)" dan hasilnya terdokumentasi serta dilaporkan?</t>
  </si>
  <si>
    <t xml:space="preserve">Apakah penyimpangan/kekurangan pada "Sumber Daya Manusia (SDM / Kepegawaian)" ditindaklanjuti dengan tindakan pengendalian (koreksi) yang terdokumentasi dan tepat waktu?</t>
  </si>
  <si>
    <t xml:space="preserve">Apakah dilakukan peningkatan/perbaikan pada "Sumber Daya Manusia (SDM / Kepegawaian)" berdasarkan hasil evaluasi &amp; pengendalian (benchmarking, revisi kebijakan/SOP)?</t>
  </si>
  <si>
    <t xml:space="preserve">NA-04</t>
  </si>
  <si>
    <t xml:space="preserve">Sarana dan Prasarana</t>
  </si>
  <si>
    <t xml:space="preserve">Apakah kebijakan/pengaturan "Sarana dan Prasarana" telah ditetapkan secara resmi (SK Rektor/pedoman internal) dan disosialisasikan ke unit kerja terkait?</t>
  </si>
  <si>
    <t xml:space="preserve">Apakah pelaksanaan "Sarana dan Prasarana" mengacu pada SOP/pedoman yang berlaku dan didukung bukti/dokumen pelaksanaan yang memadai?</t>
  </si>
  <si>
    <t xml:space="preserve">Apakah dilakukan evaluasi berkala (audit non-akademik) atas "Sarana dan Prasarana" dan hasilnya terdokumentasi serta dilaporkan?</t>
  </si>
  <si>
    <t xml:space="preserve">Apakah penyimpangan/kekurangan pada "Sarana dan Prasarana" ditindaklanjuti dengan tindakan pengendalian (koreksi) yang terdokumentasi dan tepat waktu?</t>
  </si>
  <si>
    <t xml:space="preserve">Apakah dilakukan peningkatan/perbaikan pada "Sarana dan Prasarana" berdasarkan hasil evaluasi &amp; pengendalian (benchmarking, revisi kebijakan/SOP)?</t>
  </si>
  <si>
    <t xml:space="preserve">NA-05</t>
  </si>
  <si>
    <t xml:space="preserve">Apakah kebijakan/pengaturan "Kerjasama" telah ditetapkan secara resmi (SK Rektor/pedoman internal) dan disosialisasikan ke unit kerja terkait?</t>
  </si>
  <si>
    <t xml:space="preserve">Apakah pelaksanaan "Kerjasama" mengacu pada SOP/pedoman yang berlaku dan didukung bukti/dokumen pelaksanaan yang memadai?</t>
  </si>
  <si>
    <t xml:space="preserve">Apakah dilakukan evaluasi berkala (audit non-akademik) atas "Kerjasama" dan hasilnya terdokumentasi serta dilaporkan?</t>
  </si>
  <si>
    <t xml:space="preserve">Apakah penyimpangan/kekurangan pada "Kerjasama" ditindaklanjuti dengan tindakan pengendalian (koreksi) yang terdokumentasi dan tepat waktu?</t>
  </si>
  <si>
    <t xml:space="preserve">Apakah dilakukan peningkatan/perbaikan pada "Kerjasama" berdasarkan hasil evaluasi &amp; pengendalian (benchmarking, revisi kebijakan/SOP)?</t>
  </si>
  <si>
    <t xml:space="preserve">NA-06</t>
  </si>
  <si>
    <t xml:space="preserve">Keuangan</t>
  </si>
  <si>
    <t xml:space="preserve">Apakah kebijakan/pengaturan "Keuangan" telah ditetapkan secara resmi (SK Rektor/pedoman internal) dan disosialisasikan ke unit kerja terkait?</t>
  </si>
  <si>
    <t xml:space="preserve">Apakah pelaksanaan "Keuangan" mengacu pada SOP/pedoman yang berlaku dan didukung bukti/dokumen pelaksanaan yang memadai?</t>
  </si>
  <si>
    <t xml:space="preserve">Apakah dilakukan evaluasi berkala (audit non-akademik) atas "Keuangan" dan hasilnya terdokumentasi serta dilaporkan?</t>
  </si>
  <si>
    <t xml:space="preserve">Apakah penyimpangan/kekurangan pada "Keuangan" ditindaklanjuti dengan tindakan pengendalian (koreksi) yang terdokumentasi dan tepat waktu?</t>
  </si>
  <si>
    <t xml:space="preserve">Apakah dilakukan peningkatan/perbaikan pada "Keuangan" berdasarkan hasil evaluasi &amp; pengendalian (benchmarking, revisi kebijakan/SOP)?</t>
  </si>
  <si>
    <t xml:space="preserve">NA-07</t>
  </si>
  <si>
    <t xml:space="preserve">Kesejahteraan</t>
  </si>
  <si>
    <t xml:space="preserve">Apakah kebijakan/pengaturan "Kesejahteraan" telah ditetapkan secara resmi (SK Rektor/pedoman internal) dan disosialisasikan ke unit kerja terkait?</t>
  </si>
  <si>
    <t xml:space="preserve">Apakah pelaksanaan "Kesejahteraan" mengacu pada SOP/pedoman yang berlaku dan didukung bukti/dokumen pelaksanaan yang memadai?</t>
  </si>
  <si>
    <t xml:space="preserve">Apakah dilakukan evaluasi berkala (audit non-akademik) atas "Kesejahteraan" dan hasilnya terdokumentasi serta dilaporkan?</t>
  </si>
  <si>
    <t xml:space="preserve">Apakah penyimpangan/kekurangan pada "Kesejahteraan" ditindaklanjuti dengan tindakan pengendalian (koreksi) yang terdokumentasi dan tepat waktu?</t>
  </si>
  <si>
    <t xml:space="preserve">Apakah dilakukan peningkatan/perbaikan pada "Kesejahteraan" berdasarkan hasil evaluasi &amp; pengendalian (benchmarking, revisi kebijakan/SOP)?</t>
  </si>
  <si>
    <t xml:space="preserve">DAMPAK TRIDHARMA — DRAF NARASI</t>
  </si>
  <si>
    <t xml:space="preserve">Menu baru pada spmi.kemdiktisaintek.go.id. Menurut materi sosialisasi Kemdiktisaintek, menu ini BELUM memiliki format/formulir baku — PT bebas menyusun narasinya sendiri. Sheet ini hanya alat bantu (bukan formulir wajib) untuk menyusun draf narasi per pilar Tridharma sebelum disalin ke sistem. Bukti (gambar/dokumentasi) dicantumkan sebagai TAUTAN di dalam narasi, bukan diunggah sebagai file terpisah.</t>
  </si>
  <si>
    <t xml:space="preserve">PENDIDIKAN</t>
  </si>
  <si>
    <t xml:space="preserve">Dampak Outstanding / Menonjol (uraian singkat)</t>
  </si>
  <si>
    <t xml:space="preserve">Tingkat Dampak (Lokal / Nasional / Internasional)</t>
  </si>
  <si>
    <t xml:space="preserve">Keselarasan dengan Visi-Misi-Tujuan-Sasaran (VMTS) USS</t>
  </si>
  <si>
    <t xml:space="preserve">Keterkaitan: Siklus PPEPP → Kesiapan Akreditasi → Dampak ke Masyarakat/DUDIKA</t>
  </si>
  <si>
    <t xml:space="preserve">Tautan Bukti (link dokumentasi/foto/publikasi, pisahkan dgn koma)</t>
  </si>
  <si>
    <t xml:space="preserve">PENELITIAN</t>
  </si>
  <si>
    <t xml:space="preserve">PENGABDIAN KEPADA MASYARAKAT (PkM)</t>
  </si>
  <si>
    <t xml:space="preserve">DRAF NARASI FINAL (siap disalin ke menu Dampak Tridharma di sistem)</t>
  </si>
  <si>
    <t xml:space="preserve">Sumber acuan: materi sosialisasi Kemdiktisaintek “Pelaporan SPMI PT” &amp; “Pelaporan SPMI PT untuk Fasilitator SPMI” (2026) — dirangkum di dokumen proyek ringkasan-pedoman-spmi-2026.md. Karena belum ada format baku, sesuaikan struktur narasi ini dengan kebijakan internal USS.</t>
  </si>
  <si>
    <t xml:space="preserve">PROGRAM KERJA BULAN MUTU — SPMI UNIVERSITAS SUMATERA SELATAN</t>
  </si>
  <si>
    <t xml:space="preserve">"Bulan Mutu" adalah periode (biasanya 1 bulan) yang ditetapkan LPMA setiap tahun untuk memusatkan rangkaian kegiatan penjaminan mutu — sosialisasi, evaluasi diri, Audit Mutu Internal (AMAI/EMI &amp; non-akademik), Rapat Tinjauan Manajemen (RTM), hingga pelaporan ke sistem SPMI nasional — dalam satu kalender terpadu, sejalan dengan siklus PPEPP dan jadwal wajib Manual Evaluasi SPMI USS (MM-USS-02-03: AMAI/EMI minimal 1x/tahun). Disarankan dilaksanakan menjelang periode verifikasi LLDikti (Maret–April atau Oktober–November) agar hasil audit siap dilaporkan. Isi hanya sel berwarna kuning; rangkaian kegiatan di bawah adalah usulan baku (sama untuk tiap tahun) — sesuaikan dengan kalender akademik &amp; kebijakan internal USS bila perlu.</t>
  </si>
  <si>
    <t xml:space="preserve">BULAN MUTU TAHUN 2023</t>
  </si>
  <si>
    <t xml:space="preserve">Bulan Pelaksanaan:</t>
  </si>
  <si>
    <t xml:space="preserve">Kegiatan Bulan Mutu</t>
  </si>
  <si>
    <t xml:space="preserve">Tahap PPEPP Terkait</t>
  </si>
  <si>
    <t xml:space="preserve">Penanggung Jawab (PIC)</t>
  </si>
  <si>
    <t xml:space="preserve">Dokumen / Instrumen Terkait</t>
  </si>
  <si>
    <t xml:space="preserve">Rencana Waktu (Minggu Ke-)</t>
  </si>
  <si>
    <t xml:space="preserve">Tanggal Pelaksanaan (Realisasi)</t>
  </si>
  <si>
    <t xml:space="preserve">Status</t>
  </si>
  <si>
    <t xml:space="preserve">Catatan</t>
  </si>
  <si>
    <t xml:space="preserve">Rapat Persiapan &amp; Penyusunan Jadwal Bulan Mutu</t>
  </si>
  <si>
    <t xml:space="preserve">Kepala LPMA &amp; Tim LPMA</t>
  </si>
  <si>
    <t xml:space="preserve">Notulen rapat persiapan</t>
  </si>
  <si>
    <t xml:space="preserve">Penerbitan Surat Tugas Tim Auditor</t>
  </si>
  <si>
    <t xml:space="preserve">Rektor / Kepala LPMA</t>
  </si>
  <si>
    <t xml:space="preserve">Surat Tugas Tim Audit SPMI USS.docx</t>
  </si>
  <si>
    <t xml:space="preserve">Sosialisasi Standar Mutu &amp; Kebijakan SPMI ke Sivitas Akademika</t>
  </si>
  <si>
    <t xml:space="preserve">LPMA bersama Dekan/Ketua Prodi/Kepala Unit</t>
  </si>
  <si>
    <t xml:space="preserve">Kebijakan SPMI (KM-USS-01), Standar Mutu terkait</t>
  </si>
  <si>
    <t xml:space="preserve">Pengisian Evaluasi Diri &amp; Bukti Pelaksanaan PPEPP oleh Unit</t>
  </si>
  <si>
    <t xml:space="preserve">Fakultas / Program Studi / Unit Kerja</t>
  </si>
  <si>
    <t xml:space="preserve">Formulir Bukti Pelaksanaan PPEPP SPMI USS.docx</t>
  </si>
  <si>
    <t xml:space="preserve">Pelaksanaan Audit Mutu Akademik Internal (AMAI/EMI) — Fakultas/Prodi</t>
  </si>
  <si>
    <t xml:space="preserve">Tim Auditor LPMA</t>
  </si>
  <si>
    <t xml:space="preserve">Instrumen AMI SPMI USS.docx / sheet "Instrumen AMI"</t>
  </si>
  <si>
    <t xml:space="preserve">Pelaksanaan Audit Mutu Internal Unit Non-Akademik</t>
  </si>
  <si>
    <t xml:space="preserve">Instrumen AMI Non-Akademik SPMI USS.docx / sheet "Instrumen AMI Non-Akademik"</t>
  </si>
  <si>
    <t xml:space="preserve">Penyusunan Laporan Hasil AMAI/EMI</t>
  </si>
  <si>
    <t xml:space="preserve">Ketua Tim Auditor</t>
  </si>
  <si>
    <t xml:space="preserve">Laporan Hasil AMAI-EMI SPMI USS.docx</t>
  </si>
  <si>
    <t xml:space="preserve">Penerbitan Permintaan Tindakan Korektif (PTK) atas Temuan</t>
  </si>
  <si>
    <t xml:space="preserve">LPMA / Auditor Penanggung Jawab</t>
  </si>
  <si>
    <t xml:space="preserve">Permintaan Tindakan Korektif (PTK) SPMI USS.docx</t>
  </si>
  <si>
    <t xml:space="preserve">Rapat Tinjauan Manajemen (RTM)</t>
  </si>
  <si>
    <t xml:space="preserve">Rektor &amp; Pimpinan Universitas</t>
  </si>
  <si>
    <t xml:space="preserve">Berita Acara RTM SPMI USS.docx</t>
  </si>
  <si>
    <t xml:space="preserve">Pemantauan Tindak Lanjut &amp; Penyusunan Laporan Tindak Lanjut (LTL)</t>
  </si>
  <si>
    <t xml:space="preserve">Unit Terkait &amp; LPMA</t>
  </si>
  <si>
    <t xml:space="preserve">Laporan Tindak Lanjut (LTL) SPMI USS.docx</t>
  </si>
  <si>
    <t xml:space="preserve">Pelaporan Hasil ke Sistem SPMI Nasional (spmi.kemdiktisaintek.go.id)</t>
  </si>
  <si>
    <t xml:space="preserve">LPMA</t>
  </si>
  <si>
    <t xml:space="preserve">Seluruh dokumen di atas</t>
  </si>
  <si>
    <t xml:space="preserve">Evaluasi Pelaksanaan Bulan Mutu &amp; Rencana Perbaikan Tahun Berikutnya</t>
  </si>
  <si>
    <t xml:space="preserve">Kepala LPMA &amp; Pimpinan Universitas</t>
  </si>
  <si>
    <t xml:space="preserve">Notulen evaluasi / rekomendasi RTM</t>
  </si>
  <si>
    <t xml:space="preserve">Ringkasan Status — Bulan Mutu 2023</t>
  </si>
  <si>
    <t xml:space="preserve">BULAN MUTU TAHUN 2024</t>
  </si>
  <si>
    <t xml:space="preserve">Ringkasan Status — Bulan Mutu 2024</t>
  </si>
  <si>
    <t xml:space="preserve">BULAN MUTU TAHUN 2025</t>
  </si>
  <si>
    <t xml:space="preserve">Ringkasan Status — Bulan Mutu 2025</t>
  </si>
  <si>
    <t xml:space="preserve">BULAN MUTU TAHUN 2026</t>
  </si>
  <si>
    <t xml:space="preserve">Ringkasan Status — Bulan Mutu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</si>
</sst>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1"/>
      <color rgb="FF4040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1F1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D9D9"/>
        <bgColor rgb="FFD9E2F3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6600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808080"/>
        <bgColor rgb="FF969696"/>
      </patternFill>
    </fill>
    <fill>
      <patternFill patternType="solid">
        <fgColor rgb="FF595959"/>
        <bgColor rgb="FF40404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6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808080"/>
      <rgbColor rgb="FF9999FF"/>
      <rgbColor rgb="FF7030A0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1F1F1F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4" min="3" style="0" width="12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</row>
    <row r="4" customFormat="false" ht="30" hidden="false" customHeight="tru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customFormat="false" ht="15" hidden="false" customHeight="false" outlineLevel="0" collapsed="false">
      <c r="A5" s="3" t="s">
        <v>8</v>
      </c>
      <c r="B5" s="4" t="n">
        <f aca="false">13</f>
        <v>13</v>
      </c>
      <c r="C5" s="4" t="n">
        <f aca="false">COUNTIF('Standar Pendidikan'!$M$6:$M$18,"Tercapai")</f>
        <v>0</v>
      </c>
      <c r="D5" s="4" t="n">
        <f aca="false">COUNTIF('Standar Pendidikan'!$M$6:$M$18,"Melampaui")</f>
        <v>0</v>
      </c>
      <c r="E5" s="4" t="n">
        <f aca="false">COUNTIF('Standar Pendidikan'!$M$6:$M$18,"Belum Tercapai")</f>
        <v>0</v>
      </c>
      <c r="F5" s="4" t="n">
        <f aca="false">COUNTIF('Standar Pendidikan'!$M$6:$M$18,"Menyimpang")</f>
        <v>0</v>
      </c>
      <c r="G5" s="4" t="n">
        <f aca="false">13-C5-D5-E5-F5</f>
        <v>13</v>
      </c>
    </row>
    <row r="6" customFormat="false" ht="15" hidden="false" customHeight="false" outlineLevel="0" collapsed="false">
      <c r="A6" s="3" t="s">
        <v>9</v>
      </c>
      <c r="B6" s="4" t="n">
        <f aca="false">8</f>
        <v>8</v>
      </c>
      <c r="C6" s="4" t="n">
        <f aca="false">COUNTIF('Standar Penelitian'!$M$6:$M$13,"Tercapai")</f>
        <v>0</v>
      </c>
      <c r="D6" s="4" t="n">
        <f aca="false">COUNTIF('Standar Penelitian'!$M$6:$M$13,"Melampaui")</f>
        <v>0</v>
      </c>
      <c r="E6" s="4" t="n">
        <f aca="false">COUNTIF('Standar Penelitian'!$M$6:$M$13,"Belum Tercapai")</f>
        <v>0</v>
      </c>
      <c r="F6" s="4" t="n">
        <f aca="false">COUNTIF('Standar Penelitian'!$M$6:$M$13,"Menyimpang")</f>
        <v>0</v>
      </c>
      <c r="G6" s="4" t="n">
        <f aca="false">8-C6-D6-E6-F6</f>
        <v>8</v>
      </c>
    </row>
    <row r="7" customFormat="false" ht="15" hidden="false" customHeight="false" outlineLevel="0" collapsed="false">
      <c r="A7" s="3" t="s">
        <v>10</v>
      </c>
      <c r="B7" s="4" t="n">
        <f aca="false">8</f>
        <v>8</v>
      </c>
      <c r="C7" s="4" t="n">
        <f aca="false">COUNTIF('Standar PkM'!$M$6:$M$13,"Tercapai")</f>
        <v>0</v>
      </c>
      <c r="D7" s="4" t="n">
        <f aca="false">COUNTIF('Standar PkM'!$M$6:$M$13,"Melampaui")</f>
        <v>0</v>
      </c>
      <c r="E7" s="4" t="n">
        <f aca="false">COUNTIF('Standar PkM'!$M$6:$M$13,"Belum Tercapai")</f>
        <v>0</v>
      </c>
      <c r="F7" s="4" t="n">
        <f aca="false">COUNTIF('Standar PkM'!$M$6:$M$13,"Menyimpang")</f>
        <v>0</v>
      </c>
      <c r="G7" s="4" t="n">
        <f aca="false">8-C7-D7-E7-F7</f>
        <v>8</v>
      </c>
    </row>
    <row r="8" customFormat="false" ht="15" hidden="false" customHeight="false" outlineLevel="0" collapsed="false">
      <c r="A8" s="3" t="s">
        <v>11</v>
      </c>
      <c r="B8" s="4" t="n">
        <f aca="false">9</f>
        <v>9</v>
      </c>
      <c r="C8" s="4" t="n">
        <f aca="false">COUNTIF('Tambahan Penelitian'!$M$6:$M$14,"Tercapai")</f>
        <v>0</v>
      </c>
      <c r="D8" s="4" t="n">
        <f aca="false">COUNTIF('Tambahan Penelitian'!$M$6:$M$14,"Melampaui")</f>
        <v>0</v>
      </c>
      <c r="E8" s="4" t="n">
        <f aca="false">COUNTIF('Tambahan Penelitian'!$M$6:$M$14,"Belum Tercapai")</f>
        <v>0</v>
      </c>
      <c r="F8" s="4" t="n">
        <f aca="false">COUNTIF('Tambahan Penelitian'!$M$6:$M$14,"Menyimpang")</f>
        <v>0</v>
      </c>
      <c r="G8" s="4" t="n">
        <f aca="false">9-C8-D8-E8-F8</f>
        <v>9</v>
      </c>
    </row>
    <row r="9" customFormat="false" ht="15" hidden="false" customHeight="false" outlineLevel="0" collapsed="false">
      <c r="A9" s="3" t="s">
        <v>12</v>
      </c>
      <c r="B9" s="4" t="n">
        <f aca="false">12</f>
        <v>12</v>
      </c>
      <c r="C9" s="4" t="n">
        <f aca="false">COUNTIF('Tambahan PkM'!$M$6:$M$17,"Tercapai")</f>
        <v>0</v>
      </c>
      <c r="D9" s="4" t="n">
        <f aca="false">COUNTIF('Tambahan PkM'!$M$6:$M$17,"Melampaui")</f>
        <v>0</v>
      </c>
      <c r="E9" s="4" t="n">
        <f aca="false">COUNTIF('Tambahan PkM'!$M$6:$M$17,"Belum Tercapai")</f>
        <v>0</v>
      </c>
      <c r="F9" s="4" t="n">
        <f aca="false">COUNTIF('Tambahan PkM'!$M$6:$M$17,"Menyimpang")</f>
        <v>0</v>
      </c>
      <c r="G9" s="4" t="n">
        <f aca="false">12-C9-D9-E9-F9</f>
        <v>12</v>
      </c>
    </row>
    <row r="10" customFormat="false" ht="15" hidden="false" customHeight="false" outlineLevel="0" collapsed="false">
      <c r="A10" s="5" t="s">
        <v>13</v>
      </c>
      <c r="B10" s="6" t="n">
        <f aca="false">SUM(B5:B9)</f>
        <v>50</v>
      </c>
      <c r="C10" s="6" t="n">
        <f aca="false">SUM(C5:C9)</f>
        <v>0</v>
      </c>
      <c r="D10" s="6" t="n">
        <f aca="false">SUM(D5:D9)</f>
        <v>0</v>
      </c>
      <c r="E10" s="6" t="n">
        <f aca="false">SUM(E5:E9)</f>
        <v>0</v>
      </c>
      <c r="F10" s="6" t="n">
        <f aca="false">SUM(F5:F9)</f>
        <v>0</v>
      </c>
      <c r="G10" s="6" t="n">
        <f aca="false">SUM(G5:G9)</f>
        <v>50</v>
      </c>
    </row>
    <row r="13" customFormat="false" ht="22.35" hidden="false" customHeight="true" outlineLevel="0" collapsed="false">
      <c r="A13" s="7" t="s">
        <v>14</v>
      </c>
      <c r="B13" s="7"/>
      <c r="C13" s="7"/>
      <c r="D13" s="7"/>
      <c r="E13" s="7"/>
      <c r="F13" s="7"/>
      <c r="G13" s="7"/>
    </row>
  </sheetData>
  <mergeCells count="2">
    <mergeCell ref="A1:F2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D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30"/>
  </cols>
  <sheetData>
    <row r="1" customFormat="false" ht="25.5" hidden="false" customHeight="true" outlineLevel="0" collapsed="false">
      <c r="A1" s="8" t="s">
        <v>15</v>
      </c>
      <c r="B1" s="8"/>
      <c r="C1" s="8"/>
      <c r="D1" s="8"/>
    </row>
    <row r="2" customFormat="false" ht="25.5" hidden="false" customHeight="true" outlineLevel="0" collapsed="false">
      <c r="A2" s="8"/>
      <c r="B2" s="8"/>
      <c r="C2" s="8"/>
      <c r="D2" s="8"/>
    </row>
    <row r="4" customFormat="false" ht="16.15" hidden="false" customHeight="false" outlineLevel="0" collapsed="false">
      <c r="B4" s="9" t="s">
        <v>16</v>
      </c>
    </row>
    <row r="5" customFormat="false" ht="15" hidden="false" customHeight="true" outlineLevel="0" collapsed="false">
      <c r="B5" s="10" t="s">
        <v>17</v>
      </c>
      <c r="C5" s="10"/>
      <c r="D5" s="10"/>
    </row>
    <row r="6" customFormat="false" ht="15" hidden="false" customHeight="false" outlineLevel="0" collapsed="false">
      <c r="B6" s="10"/>
      <c r="C6" s="10"/>
      <c r="D6" s="10"/>
    </row>
    <row r="7" customFormat="false" ht="15" hidden="false" customHeight="false" outlineLevel="0" collapsed="false">
      <c r="B7" s="10"/>
      <c r="C7" s="10"/>
      <c r="D7" s="10"/>
    </row>
    <row r="8" customFormat="false" ht="15" hidden="false" customHeight="false" outlineLevel="0" collapsed="false">
      <c r="B8" s="10"/>
      <c r="C8" s="10"/>
      <c r="D8" s="10"/>
    </row>
    <row r="10" customFormat="false" ht="16.15" hidden="false" customHeight="false" outlineLevel="0" collapsed="false">
      <c r="B10" s="9" t="s">
        <v>18</v>
      </c>
    </row>
    <row r="11" customFormat="false" ht="15" hidden="false" customHeight="true" outlineLevel="0" collapsed="false">
      <c r="B11" s="10" t="s">
        <v>19</v>
      </c>
      <c r="C11" s="10"/>
      <c r="D11" s="10"/>
    </row>
    <row r="12" customFormat="false" ht="15" hidden="false" customHeight="true" outlineLevel="0" collapsed="false">
      <c r="B12" s="10" t="s">
        <v>20</v>
      </c>
      <c r="C12" s="10"/>
      <c r="D12" s="10"/>
    </row>
    <row r="13" customFormat="false" ht="15" hidden="false" customHeight="true" outlineLevel="0" collapsed="false">
      <c r="B13" s="10" t="s">
        <v>21</v>
      </c>
      <c r="C13" s="10"/>
      <c r="D13" s="10"/>
    </row>
    <row r="14" customFormat="false" ht="15" hidden="false" customHeight="true" outlineLevel="0" collapsed="false">
      <c r="B14" s="10" t="s">
        <v>22</v>
      </c>
      <c r="C14" s="10"/>
      <c r="D14" s="10"/>
    </row>
    <row r="15" customFormat="false" ht="15" hidden="false" customHeight="true" outlineLevel="0" collapsed="false">
      <c r="B15" s="10" t="s">
        <v>23</v>
      </c>
      <c r="C15" s="10"/>
      <c r="D15" s="10"/>
    </row>
    <row r="16" customFormat="false" ht="15" hidden="false" customHeight="true" outlineLevel="0" collapsed="false">
      <c r="B16" s="10" t="s">
        <v>24</v>
      </c>
      <c r="C16" s="10"/>
      <c r="D16" s="10"/>
    </row>
    <row r="17" customFormat="false" ht="23.85" hidden="false" customHeight="true" outlineLevel="0" collapsed="false">
      <c r="B17" s="10" t="s">
        <v>25</v>
      </c>
      <c r="C17" s="10"/>
      <c r="D17" s="10"/>
    </row>
    <row r="18" customFormat="false" ht="35.05" hidden="false" customHeight="true" outlineLevel="0" collapsed="false">
      <c r="B18" s="10" t="s">
        <v>26</v>
      </c>
      <c r="C18" s="10"/>
      <c r="D18" s="10"/>
    </row>
    <row r="19" customFormat="false" ht="35.05" hidden="false" customHeight="true" outlineLevel="0" collapsed="false">
      <c r="B19" s="10" t="s">
        <v>27</v>
      </c>
      <c r="C19" s="10"/>
      <c r="D19" s="10"/>
    </row>
    <row r="20" customFormat="false" ht="35.05" hidden="false" customHeight="true" outlineLevel="0" collapsed="false">
      <c r="B20" s="10" t="s">
        <v>28</v>
      </c>
      <c r="C20" s="10"/>
      <c r="D20" s="10"/>
    </row>
    <row r="22" customFormat="false" ht="16.15" hidden="false" customHeight="false" outlineLevel="0" collapsed="false">
      <c r="B22" s="9" t="s">
        <v>29</v>
      </c>
    </row>
    <row r="23" customFormat="false" ht="15" hidden="false" customHeight="true" outlineLevel="0" collapsed="false">
      <c r="B23" s="11" t="s">
        <v>30</v>
      </c>
      <c r="C23" s="10" t="s">
        <v>31</v>
      </c>
      <c r="D23" s="10"/>
    </row>
    <row r="24" customFormat="false" ht="15" hidden="false" customHeight="true" outlineLevel="0" collapsed="false">
      <c r="B24" s="12" t="s">
        <v>30</v>
      </c>
      <c r="C24" s="10" t="s">
        <v>32</v>
      </c>
      <c r="D24" s="10"/>
    </row>
    <row r="25" customFormat="false" ht="15" hidden="false" customHeight="true" outlineLevel="0" collapsed="false">
      <c r="B25" s="13" t="s">
        <v>30</v>
      </c>
      <c r="C25" s="10" t="s">
        <v>33</v>
      </c>
      <c r="D25" s="10"/>
    </row>
    <row r="27" customFormat="false" ht="16.15" hidden="false" customHeight="false" outlineLevel="0" collapsed="false">
      <c r="B27" s="9" t="s">
        <v>34</v>
      </c>
    </row>
    <row r="28" customFormat="false" ht="15" hidden="false" customHeight="false" outlineLevel="0" collapsed="false">
      <c r="B28" s="14" t="s">
        <v>35</v>
      </c>
      <c r="D28" s="14" t="s">
        <v>36</v>
      </c>
    </row>
    <row r="29" customFormat="false" ht="15" hidden="false" customHeight="true" outlineLevel="0" collapsed="false">
      <c r="B29" s="15" t="s">
        <v>37</v>
      </c>
      <c r="C29" s="15"/>
      <c r="D29" s="16" t="s">
        <v>38</v>
      </c>
    </row>
    <row r="30" customFormat="false" ht="23.85" hidden="false" customHeight="true" outlineLevel="0" collapsed="false">
      <c r="B30" s="15" t="s">
        <v>39</v>
      </c>
      <c r="C30" s="15"/>
      <c r="D30" s="16" t="s">
        <v>40</v>
      </c>
    </row>
    <row r="31" customFormat="false" ht="15" hidden="false" customHeight="true" outlineLevel="0" collapsed="false">
      <c r="B31" s="15" t="s">
        <v>41</v>
      </c>
      <c r="C31" s="15"/>
      <c r="D31" s="16" t="s">
        <v>42</v>
      </c>
    </row>
    <row r="32" customFormat="false" ht="23.85" hidden="false" customHeight="true" outlineLevel="0" collapsed="false">
      <c r="B32" s="15" t="s">
        <v>43</v>
      </c>
      <c r="C32" s="15"/>
      <c r="D32" s="16" t="s">
        <v>44</v>
      </c>
    </row>
    <row r="33" customFormat="false" ht="35.05" hidden="false" customHeight="true" outlineLevel="0" collapsed="false">
      <c r="B33" s="15" t="s">
        <v>45</v>
      </c>
      <c r="C33" s="15"/>
      <c r="D33" s="16" t="s">
        <v>46</v>
      </c>
    </row>
    <row r="35" customFormat="false" ht="16.15" hidden="false" customHeight="false" outlineLevel="0" collapsed="false">
      <c r="B35" s="9" t="s">
        <v>47</v>
      </c>
    </row>
    <row r="36" customFormat="false" ht="15" hidden="false" customHeight="true" outlineLevel="0" collapsed="false">
      <c r="B36" s="17" t="s">
        <v>3</v>
      </c>
      <c r="C36" s="10" t="s">
        <v>48</v>
      </c>
      <c r="D36" s="10"/>
    </row>
    <row r="37" customFormat="false" ht="15" hidden="false" customHeight="true" outlineLevel="0" collapsed="false">
      <c r="B37" s="17" t="s">
        <v>4</v>
      </c>
      <c r="C37" s="10" t="s">
        <v>49</v>
      </c>
      <c r="D37" s="10"/>
    </row>
    <row r="38" customFormat="false" ht="15" hidden="false" customHeight="true" outlineLevel="0" collapsed="false">
      <c r="B38" s="17" t="s">
        <v>5</v>
      </c>
      <c r="C38" s="10" t="s">
        <v>50</v>
      </c>
      <c r="D38" s="10"/>
    </row>
    <row r="39" customFormat="false" ht="15" hidden="false" customHeight="true" outlineLevel="0" collapsed="false">
      <c r="B39" s="17" t="s">
        <v>6</v>
      </c>
      <c r="C39" s="10" t="s">
        <v>51</v>
      </c>
      <c r="D39" s="10"/>
    </row>
    <row r="42" customFormat="false" ht="16.15" hidden="false" customHeight="false" outlineLevel="0" collapsed="false">
      <c r="B42" s="9" t="s">
        <v>52</v>
      </c>
    </row>
    <row r="43" customFormat="false" ht="15" hidden="false" customHeight="true" outlineLevel="0" collapsed="false">
      <c r="B43" s="17" t="s">
        <v>53</v>
      </c>
      <c r="C43" s="10" t="s">
        <v>54</v>
      </c>
      <c r="D43" s="10"/>
    </row>
    <row r="44" customFormat="false" ht="15" hidden="false" customHeight="true" outlineLevel="0" collapsed="false">
      <c r="B44" s="17" t="s">
        <v>55</v>
      </c>
      <c r="C44" s="10" t="s">
        <v>56</v>
      </c>
      <c r="D44" s="10"/>
    </row>
    <row r="45" customFormat="false" ht="23.85" hidden="false" customHeight="true" outlineLevel="0" collapsed="false">
      <c r="B45" s="17" t="s">
        <v>57</v>
      </c>
      <c r="C45" s="10" t="s">
        <v>58</v>
      </c>
      <c r="D45" s="10"/>
    </row>
    <row r="46" customFormat="false" ht="23.85" hidden="false" customHeight="true" outlineLevel="0" collapsed="false">
      <c r="B46" s="17" t="s">
        <v>59</v>
      </c>
      <c r="C46" s="10" t="s">
        <v>60</v>
      </c>
      <c r="D46" s="10"/>
    </row>
    <row r="47" customFormat="false" ht="23.85" hidden="false" customHeight="true" outlineLevel="0" collapsed="false">
      <c r="B47" s="17" t="s">
        <v>61</v>
      </c>
      <c r="C47" s="10" t="s">
        <v>62</v>
      </c>
      <c r="D47" s="10"/>
    </row>
    <row r="48" customFormat="false" ht="23.85" hidden="false" customHeight="true" outlineLevel="0" collapsed="false">
      <c r="B48" s="17" t="s">
        <v>63</v>
      </c>
      <c r="C48" s="10" t="s">
        <v>64</v>
      </c>
      <c r="D48" s="10"/>
    </row>
    <row r="49" customFormat="false" ht="23.85" hidden="false" customHeight="true" outlineLevel="0" collapsed="false">
      <c r="B49" s="17" t="s">
        <v>65</v>
      </c>
      <c r="C49" s="10" t="s">
        <v>66</v>
      </c>
      <c r="D49" s="10"/>
    </row>
    <row r="51" customFormat="false" ht="16.15" hidden="false" customHeight="false" outlineLevel="0" collapsed="false">
      <c r="B51" s="9" t="s">
        <v>67</v>
      </c>
    </row>
    <row r="52" customFormat="false" ht="15" hidden="false" customHeight="false" outlineLevel="0" collapsed="false">
      <c r="B52" s="14" t="s">
        <v>68</v>
      </c>
      <c r="D52" s="14" t="s">
        <v>69</v>
      </c>
    </row>
    <row r="53" customFormat="false" ht="15" hidden="false" customHeight="true" outlineLevel="0" collapsed="false">
      <c r="B53" s="18" t="s">
        <v>70</v>
      </c>
      <c r="C53" s="15" t="s">
        <v>71</v>
      </c>
      <c r="D53" s="15"/>
    </row>
    <row r="54" customFormat="false" ht="15" hidden="false" customHeight="true" outlineLevel="0" collapsed="false">
      <c r="B54" s="18" t="s">
        <v>72</v>
      </c>
      <c r="C54" s="15" t="s">
        <v>73</v>
      </c>
      <c r="D54" s="15"/>
    </row>
    <row r="55" customFormat="false" ht="15" hidden="false" customHeight="true" outlineLevel="0" collapsed="false">
      <c r="B55" s="18" t="s">
        <v>74</v>
      </c>
      <c r="C55" s="15" t="s">
        <v>75</v>
      </c>
      <c r="D55" s="15"/>
    </row>
    <row r="56" customFormat="false" ht="15" hidden="false" customHeight="true" outlineLevel="0" collapsed="false">
      <c r="B56" s="18" t="s">
        <v>76</v>
      </c>
      <c r="C56" s="15" t="s">
        <v>77</v>
      </c>
      <c r="D56" s="15"/>
    </row>
    <row r="57" customFormat="false" ht="23.85" hidden="false" customHeight="true" outlineLevel="0" collapsed="false">
      <c r="B57" s="18" t="s">
        <v>78</v>
      </c>
      <c r="C57" s="15" t="s">
        <v>79</v>
      </c>
      <c r="D57" s="15"/>
    </row>
    <row r="58" customFormat="false" ht="23.85" hidden="false" customHeight="true" outlineLevel="0" collapsed="false">
      <c r="B58" s="18" t="s">
        <v>80</v>
      </c>
      <c r="C58" s="15" t="s">
        <v>81</v>
      </c>
      <c r="D58" s="15"/>
    </row>
    <row r="59" customFormat="false" ht="15" hidden="false" customHeight="true" outlineLevel="0" collapsed="false">
      <c r="B59" s="18" t="s">
        <v>82</v>
      </c>
      <c r="C59" s="15" t="s">
        <v>83</v>
      </c>
      <c r="D59" s="15"/>
    </row>
    <row r="60" customFormat="false" ht="15" hidden="false" customHeight="true" outlineLevel="0" collapsed="false">
      <c r="B60" s="18" t="s">
        <v>84</v>
      </c>
      <c r="C60" s="15" t="s">
        <v>85</v>
      </c>
      <c r="D60" s="15"/>
    </row>
    <row r="61" customFormat="false" ht="15" hidden="false" customHeight="true" outlineLevel="0" collapsed="false">
      <c r="B61" s="18" t="s">
        <v>63</v>
      </c>
      <c r="C61" s="15" t="s">
        <v>86</v>
      </c>
      <c r="D61" s="15"/>
    </row>
    <row r="63" customFormat="false" ht="16.15" hidden="false" customHeight="false" outlineLevel="0" collapsed="false">
      <c r="B63" s="9" t="s">
        <v>87</v>
      </c>
    </row>
    <row r="64" customFormat="false" ht="15" hidden="false" customHeight="true" outlineLevel="0" collapsed="false">
      <c r="B64" s="10" t="s">
        <v>88</v>
      </c>
      <c r="C64" s="10"/>
      <c r="D64" s="10"/>
    </row>
    <row r="65" customFormat="false" ht="23.85" hidden="false" customHeight="true" outlineLevel="0" collapsed="false">
      <c r="B65" s="10" t="s">
        <v>89</v>
      </c>
      <c r="C65" s="10"/>
      <c r="D65" s="10"/>
    </row>
    <row r="66" customFormat="false" ht="23.85" hidden="false" customHeight="true" outlineLevel="0" collapsed="false">
      <c r="B66" s="10" t="s">
        <v>90</v>
      </c>
      <c r="C66" s="10"/>
      <c r="D66" s="10"/>
    </row>
    <row r="67" customFormat="false" ht="15" hidden="false" customHeight="true" outlineLevel="0" collapsed="false">
      <c r="B67" s="10" t="s">
        <v>91</v>
      </c>
      <c r="C67" s="10"/>
      <c r="D67" s="10"/>
    </row>
    <row r="69" customFormat="false" ht="16.15" hidden="false" customHeight="false" outlineLevel="0" collapsed="false">
      <c r="B69" s="9" t="s">
        <v>92</v>
      </c>
    </row>
    <row r="70" customFormat="false" ht="15" hidden="false" customHeight="false" outlineLevel="0" collapsed="false">
      <c r="B70" s="14" t="s">
        <v>93</v>
      </c>
      <c r="C70" s="14" t="s">
        <v>94</v>
      </c>
    </row>
    <row r="71" customFormat="false" ht="15" hidden="false" customHeight="true" outlineLevel="0" collapsed="false">
      <c r="B71" s="19" t="s">
        <v>95</v>
      </c>
      <c r="C71" s="20" t="s">
        <v>96</v>
      </c>
      <c r="D71" s="20"/>
    </row>
    <row r="72" customFormat="false" ht="15" hidden="false" customHeight="true" outlineLevel="0" collapsed="false">
      <c r="B72" s="19" t="s">
        <v>97</v>
      </c>
      <c r="C72" s="20" t="s">
        <v>98</v>
      </c>
      <c r="D72" s="20"/>
    </row>
    <row r="73" customFormat="false" ht="15" hidden="false" customHeight="true" outlineLevel="0" collapsed="false">
      <c r="B73" s="19" t="s">
        <v>99</v>
      </c>
      <c r="C73" s="20" t="s">
        <v>100</v>
      </c>
      <c r="D73" s="20"/>
    </row>
    <row r="74" customFormat="false" ht="15" hidden="false" customHeight="true" outlineLevel="0" collapsed="false">
      <c r="B74" s="19" t="s">
        <v>101</v>
      </c>
      <c r="C74" s="20" t="s">
        <v>102</v>
      </c>
      <c r="D74" s="20"/>
    </row>
    <row r="75" customFormat="false" ht="15" hidden="false" customHeight="true" outlineLevel="0" collapsed="false">
      <c r="B75" s="19" t="s">
        <v>103</v>
      </c>
      <c r="C75" s="20" t="s">
        <v>104</v>
      </c>
      <c r="D75" s="20"/>
    </row>
    <row r="76" customFormat="false" ht="15" hidden="false" customHeight="true" outlineLevel="0" collapsed="false">
      <c r="B76" s="19" t="s">
        <v>105</v>
      </c>
      <c r="C76" s="20" t="s">
        <v>106</v>
      </c>
      <c r="D76" s="20"/>
    </row>
    <row r="77" customFormat="false" ht="15" hidden="false" customHeight="true" outlineLevel="0" collapsed="false">
      <c r="B77" s="19" t="s">
        <v>107</v>
      </c>
      <c r="C77" s="20" t="s">
        <v>108</v>
      </c>
      <c r="D77" s="20"/>
    </row>
    <row r="78" customFormat="false" ht="15" hidden="false" customHeight="true" outlineLevel="0" collapsed="false">
      <c r="B78" s="19" t="s">
        <v>109</v>
      </c>
      <c r="C78" s="20" t="s">
        <v>110</v>
      </c>
      <c r="D78" s="20"/>
    </row>
    <row r="79" customFormat="false" ht="15" hidden="false" customHeight="true" outlineLevel="0" collapsed="false">
      <c r="B79" s="19" t="s">
        <v>111</v>
      </c>
      <c r="C79" s="20" t="s">
        <v>3</v>
      </c>
      <c r="D79" s="20"/>
    </row>
    <row r="80" customFormat="false" ht="15" hidden="false" customHeight="true" outlineLevel="0" collapsed="false">
      <c r="B80" s="19" t="s">
        <v>112</v>
      </c>
      <c r="C80" s="20" t="s">
        <v>113</v>
      </c>
      <c r="D80" s="20"/>
    </row>
    <row r="81" customFormat="false" ht="15" hidden="false" customHeight="true" outlineLevel="0" collapsed="false">
      <c r="B81" s="19" t="s">
        <v>114</v>
      </c>
      <c r="C81" s="20" t="s">
        <v>113</v>
      </c>
      <c r="D81" s="20"/>
    </row>
    <row r="82" customFormat="false" ht="15" hidden="false" customHeight="true" outlineLevel="0" collapsed="false">
      <c r="B82" s="19" t="s">
        <v>115</v>
      </c>
      <c r="C82" s="20" t="s">
        <v>116</v>
      </c>
      <c r="D82" s="20"/>
    </row>
    <row r="83" customFormat="false" ht="15" hidden="false" customHeight="true" outlineLevel="0" collapsed="false">
      <c r="B83" s="19" t="s">
        <v>117</v>
      </c>
      <c r="C83" s="20" t="s">
        <v>118</v>
      </c>
      <c r="D83" s="20"/>
    </row>
    <row r="86" customFormat="false" ht="15" hidden="false" customHeight="true" outlineLevel="0" collapsed="false">
      <c r="B86" s="7" t="s">
        <v>119</v>
      </c>
      <c r="C86" s="7"/>
      <c r="D86" s="7"/>
    </row>
    <row r="87" customFormat="false" ht="15" hidden="false" customHeight="false" outlineLevel="0" collapsed="false">
      <c r="B87" s="7"/>
      <c r="C87" s="7"/>
      <c r="D87" s="7"/>
    </row>
    <row r="88" customFormat="false" ht="15" hidden="false" customHeight="false" outlineLevel="0" collapsed="false">
      <c r="B88" s="7"/>
      <c r="C88" s="7"/>
      <c r="D88" s="7"/>
    </row>
  </sheetData>
  <mergeCells count="58">
    <mergeCell ref="A1:D2"/>
    <mergeCell ref="B5:D8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C23:D23"/>
    <mergeCell ref="C24:D24"/>
    <mergeCell ref="C25:D25"/>
    <mergeCell ref="B29:C29"/>
    <mergeCell ref="B30:C30"/>
    <mergeCell ref="B31:C31"/>
    <mergeCell ref="B32:C32"/>
    <mergeCell ref="B33:C33"/>
    <mergeCell ref="C36:D36"/>
    <mergeCell ref="C37:D37"/>
    <mergeCell ref="C38:D38"/>
    <mergeCell ref="C39:D39"/>
    <mergeCell ref="C43:D43"/>
    <mergeCell ref="C44:D44"/>
    <mergeCell ref="C45:D45"/>
    <mergeCell ref="C46:D46"/>
    <mergeCell ref="C47:D47"/>
    <mergeCell ref="C48:D48"/>
    <mergeCell ref="C49:D49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B64:D64"/>
    <mergeCell ref="B65:D65"/>
    <mergeCell ref="B66:D66"/>
    <mergeCell ref="B67:D67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B86:D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R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24"/>
    <col collapsed="false" customWidth="true" hidden="false" outlineLevel="0" max="18" min="6" style="0" width="22"/>
  </cols>
  <sheetData>
    <row r="1" customFormat="false" ht="25.5" hidden="false" customHeight="true" outlineLevel="0" collapsed="false">
      <c r="A1" s="21" t="s">
        <v>120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customFormat="false" ht="15.75" hidden="false" customHeight="true" outlineLevel="0" collapsed="false">
      <c r="A2" s="22" t="s">
        <v>121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4" customFormat="false" ht="18" hidden="false" customHeight="true" outlineLevel="0" collapsed="false">
      <c r="A4" s="23" t="s">
        <v>122</v>
      </c>
      <c r="B4" s="23"/>
      <c r="C4" s="23"/>
      <c r="D4" s="23"/>
      <c r="E4" s="23"/>
      <c r="F4" s="24" t="s">
        <v>123</v>
      </c>
      <c r="G4" s="24"/>
      <c r="H4" s="25" t="s">
        <v>124</v>
      </c>
      <c r="I4" s="25"/>
      <c r="J4" s="26" t="s">
        <v>125</v>
      </c>
      <c r="K4" s="26"/>
      <c r="L4" s="26"/>
      <c r="M4" s="26"/>
      <c r="N4" s="27" t="s">
        <v>126</v>
      </c>
      <c r="O4" s="27"/>
      <c r="P4" s="27"/>
      <c r="Q4" s="28" t="s">
        <v>127</v>
      </c>
      <c r="R4" s="28"/>
    </row>
    <row r="5" customFormat="false" ht="31.5" hidden="false" customHeight="true" outlineLevel="0" collapsed="false">
      <c r="A5" s="29" t="s">
        <v>128</v>
      </c>
      <c r="B5" s="29" t="s">
        <v>95</v>
      </c>
      <c r="C5" s="29" t="s">
        <v>129</v>
      </c>
      <c r="D5" s="29" t="s">
        <v>130</v>
      </c>
      <c r="E5" s="29" t="s">
        <v>131</v>
      </c>
      <c r="F5" s="30" t="s">
        <v>97</v>
      </c>
      <c r="G5" s="30" t="s">
        <v>99</v>
      </c>
      <c r="H5" s="30" t="s">
        <v>101</v>
      </c>
      <c r="I5" s="30" t="s">
        <v>103</v>
      </c>
      <c r="J5" s="30" t="s">
        <v>105</v>
      </c>
      <c r="K5" s="30" t="s">
        <v>107</v>
      </c>
      <c r="L5" s="30" t="s">
        <v>109</v>
      </c>
      <c r="M5" s="30" t="s">
        <v>111</v>
      </c>
      <c r="N5" s="30" t="s">
        <v>112</v>
      </c>
      <c r="O5" s="30" t="s">
        <v>114</v>
      </c>
      <c r="P5" s="30" t="s">
        <v>132</v>
      </c>
      <c r="Q5" s="30" t="s">
        <v>115</v>
      </c>
      <c r="R5" s="30" t="s">
        <v>117</v>
      </c>
    </row>
    <row r="6" customFormat="false" ht="46.25" hidden="false" customHeight="false" outlineLevel="0" collapsed="false">
      <c r="A6" s="31" t="n">
        <v>1</v>
      </c>
      <c r="B6" s="32" t="s">
        <v>133</v>
      </c>
      <c r="C6" s="32" t="s">
        <v>134</v>
      </c>
      <c r="D6" s="32" t="s">
        <v>135</v>
      </c>
      <c r="E6" s="32" t="s">
        <v>136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customFormat="false" ht="35.05" hidden="false" customHeight="false" outlineLevel="0" collapsed="false">
      <c r="A7" s="31" t="n">
        <v>2</v>
      </c>
      <c r="B7" s="32" t="s">
        <v>137</v>
      </c>
      <c r="C7" s="32" t="s">
        <v>138</v>
      </c>
      <c r="D7" s="32" t="s">
        <v>139</v>
      </c>
      <c r="E7" s="32" t="s">
        <v>136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</row>
    <row r="8" customFormat="false" ht="35.05" hidden="false" customHeight="false" outlineLevel="0" collapsed="false">
      <c r="A8" s="31" t="n">
        <v>3</v>
      </c>
      <c r="B8" s="32" t="s">
        <v>140</v>
      </c>
      <c r="C8" s="32" t="s">
        <v>141</v>
      </c>
      <c r="D8" s="32" t="s">
        <v>142</v>
      </c>
      <c r="E8" s="32" t="s">
        <v>136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</row>
    <row r="9" customFormat="false" ht="35.05" hidden="false" customHeight="false" outlineLevel="0" collapsed="false">
      <c r="A9" s="31" t="n">
        <v>4</v>
      </c>
      <c r="B9" s="32" t="s">
        <v>143</v>
      </c>
      <c r="C9" s="32" t="s">
        <v>144</v>
      </c>
      <c r="D9" s="32" t="s">
        <v>145</v>
      </c>
      <c r="E9" s="32" t="s">
        <v>146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</row>
    <row r="10" customFormat="false" ht="35.05" hidden="false" customHeight="false" outlineLevel="0" collapsed="false">
      <c r="A10" s="31" t="n">
        <v>5</v>
      </c>
      <c r="B10" s="32" t="s">
        <v>147</v>
      </c>
      <c r="C10" s="32" t="s">
        <v>148</v>
      </c>
      <c r="D10" s="32" t="s">
        <v>149</v>
      </c>
      <c r="E10" s="32" t="s">
        <v>136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</row>
    <row r="11" customFormat="false" ht="35.05" hidden="false" customHeight="false" outlineLevel="0" collapsed="false">
      <c r="A11" s="31" t="n">
        <v>6</v>
      </c>
      <c r="B11" s="32" t="s">
        <v>150</v>
      </c>
      <c r="C11" s="32" t="s">
        <v>151</v>
      </c>
      <c r="D11" s="32" t="s">
        <v>152</v>
      </c>
      <c r="E11" s="32" t="s">
        <v>153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</row>
    <row r="12" customFormat="false" ht="35.05" hidden="false" customHeight="false" outlineLevel="0" collapsed="false">
      <c r="A12" s="31" t="n">
        <v>7</v>
      </c>
      <c r="B12" s="32" t="s">
        <v>154</v>
      </c>
      <c r="C12" s="32" t="s">
        <v>155</v>
      </c>
      <c r="D12" s="32" t="s">
        <v>156</v>
      </c>
      <c r="E12" s="32" t="s">
        <v>157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</row>
    <row r="13" customFormat="false" ht="35.05" hidden="false" customHeight="false" outlineLevel="0" collapsed="false">
      <c r="A13" s="31" t="n">
        <v>8</v>
      </c>
      <c r="B13" s="32" t="s">
        <v>158</v>
      </c>
      <c r="C13" s="32" t="s">
        <v>159</v>
      </c>
      <c r="D13" s="32" t="s">
        <v>160</v>
      </c>
      <c r="E13" s="32" t="s">
        <v>161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</row>
    <row r="14" customFormat="false" ht="46.25" hidden="false" customHeight="false" outlineLevel="0" collapsed="false">
      <c r="A14" s="31" t="n">
        <v>9</v>
      </c>
      <c r="B14" s="32" t="s">
        <v>162</v>
      </c>
      <c r="C14" s="32" t="s">
        <v>163</v>
      </c>
      <c r="D14" s="32" t="s">
        <v>164</v>
      </c>
      <c r="E14" s="32" t="s">
        <v>165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</row>
    <row r="15" customFormat="false" ht="23.85" hidden="false" customHeight="false" outlineLevel="0" collapsed="false">
      <c r="A15" s="31" t="n">
        <v>10</v>
      </c>
      <c r="B15" s="32" t="s">
        <v>166</v>
      </c>
      <c r="C15" s="32" t="s">
        <v>167</v>
      </c>
      <c r="D15" s="32" t="s">
        <v>168</v>
      </c>
      <c r="E15" s="32" t="s">
        <v>136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</row>
    <row r="16" customFormat="false" ht="23.85" hidden="false" customHeight="false" outlineLevel="0" collapsed="false">
      <c r="A16" s="31" t="n">
        <v>11</v>
      </c>
      <c r="B16" s="32" t="s">
        <v>169</v>
      </c>
      <c r="C16" s="32" t="s">
        <v>170</v>
      </c>
      <c r="D16" s="32" t="s">
        <v>171</v>
      </c>
      <c r="E16" s="32" t="s">
        <v>136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</row>
    <row r="17" customFormat="false" ht="35.05" hidden="false" customHeight="false" outlineLevel="0" collapsed="false">
      <c r="A17" s="31" t="n">
        <v>12</v>
      </c>
      <c r="B17" s="32" t="s">
        <v>172</v>
      </c>
      <c r="C17" s="32" t="s">
        <v>173</v>
      </c>
      <c r="D17" s="32" t="s">
        <v>174</v>
      </c>
      <c r="E17" s="32" t="s">
        <v>175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</row>
    <row r="18" customFormat="false" ht="35.05" hidden="false" customHeight="false" outlineLevel="0" collapsed="false">
      <c r="A18" s="31" t="n">
        <v>13</v>
      </c>
      <c r="B18" s="32" t="s">
        <v>176</v>
      </c>
      <c r="C18" s="32" t="s">
        <v>177</v>
      </c>
      <c r="D18" s="32" t="s">
        <v>178</v>
      </c>
      <c r="E18" s="32" t="s">
        <v>179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</row>
  </sheetData>
  <mergeCells count="8">
    <mergeCell ref="A1:R1"/>
    <mergeCell ref="A2:R2"/>
    <mergeCell ref="A4:E4"/>
    <mergeCell ref="F4:G4"/>
    <mergeCell ref="H4:I4"/>
    <mergeCell ref="J4:M4"/>
    <mergeCell ref="N4:P4"/>
    <mergeCell ref="Q4:R4"/>
  </mergeCells>
  <dataValidations count="2">
    <dataValidation allowBlank="true" error="Pilih salah satu dari daftar." errorStyle="stop" operator="between" prompt="Pilih status capaian standar" showDropDown="false" showErrorMessage="false" showInputMessage="false" sqref="M6:M18" type="list">
      <formula1>"Belum Dievaluasi,Tercapai,Melampaui,Belum Tercapai,Menyimpang"</formula1>
      <formula2>0</formula2>
    </dataValidation>
    <dataValidation allowBlank="true" errorStyle="stop" operator="between" showDropDown="false" showErrorMessage="false" showInputMessage="false" sqref="J6:J18" type="list">
      <formula1>"AMAI,EMI,Audit Non-Akademik,Evaluasi Diri,Audit LPMA"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R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24"/>
    <col collapsed="false" customWidth="true" hidden="false" outlineLevel="0" max="18" min="6" style="0" width="22"/>
  </cols>
  <sheetData>
    <row r="1" customFormat="false" ht="25.5" hidden="false" customHeight="true" outlineLevel="0" collapsed="false">
      <c r="A1" s="21" t="s">
        <v>180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customFormat="false" ht="15.75" hidden="false" customHeight="true" outlineLevel="0" collapsed="false">
      <c r="A2" s="22" t="s">
        <v>121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4" customFormat="false" ht="18" hidden="false" customHeight="true" outlineLevel="0" collapsed="false">
      <c r="A4" s="23" t="s">
        <v>122</v>
      </c>
      <c r="B4" s="23"/>
      <c r="C4" s="23"/>
      <c r="D4" s="23"/>
      <c r="E4" s="23"/>
      <c r="F4" s="24" t="s">
        <v>123</v>
      </c>
      <c r="G4" s="24"/>
      <c r="H4" s="25" t="s">
        <v>124</v>
      </c>
      <c r="I4" s="25"/>
      <c r="J4" s="26" t="s">
        <v>125</v>
      </c>
      <c r="K4" s="26"/>
      <c r="L4" s="26"/>
      <c r="M4" s="26"/>
      <c r="N4" s="27" t="s">
        <v>126</v>
      </c>
      <c r="O4" s="27"/>
      <c r="P4" s="27"/>
      <c r="Q4" s="28" t="s">
        <v>127</v>
      </c>
      <c r="R4" s="28"/>
    </row>
    <row r="5" customFormat="false" ht="31.5" hidden="false" customHeight="true" outlineLevel="0" collapsed="false">
      <c r="A5" s="29" t="s">
        <v>128</v>
      </c>
      <c r="B5" s="29" t="s">
        <v>95</v>
      </c>
      <c r="C5" s="29" t="s">
        <v>129</v>
      </c>
      <c r="D5" s="29" t="s">
        <v>130</v>
      </c>
      <c r="E5" s="29" t="s">
        <v>131</v>
      </c>
      <c r="F5" s="30" t="s">
        <v>97</v>
      </c>
      <c r="G5" s="30" t="s">
        <v>99</v>
      </c>
      <c r="H5" s="30" t="s">
        <v>101</v>
      </c>
      <c r="I5" s="30" t="s">
        <v>103</v>
      </c>
      <c r="J5" s="30" t="s">
        <v>105</v>
      </c>
      <c r="K5" s="30" t="s">
        <v>107</v>
      </c>
      <c r="L5" s="30" t="s">
        <v>109</v>
      </c>
      <c r="M5" s="30" t="s">
        <v>111</v>
      </c>
      <c r="N5" s="30" t="s">
        <v>112</v>
      </c>
      <c r="O5" s="30" t="s">
        <v>114</v>
      </c>
      <c r="P5" s="30" t="s">
        <v>132</v>
      </c>
      <c r="Q5" s="30" t="s">
        <v>115</v>
      </c>
      <c r="R5" s="30" t="s">
        <v>117</v>
      </c>
    </row>
    <row r="6" customFormat="false" ht="35.05" hidden="false" customHeight="false" outlineLevel="0" collapsed="false">
      <c r="A6" s="31" t="n">
        <v>1</v>
      </c>
      <c r="B6" s="32" t="s">
        <v>181</v>
      </c>
      <c r="C6" s="32" t="s">
        <v>182</v>
      </c>
      <c r="D6" s="32" t="s">
        <v>183</v>
      </c>
      <c r="E6" s="32" t="s">
        <v>184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customFormat="false" ht="35.05" hidden="false" customHeight="false" outlineLevel="0" collapsed="false">
      <c r="A7" s="31" t="n">
        <v>2</v>
      </c>
      <c r="B7" s="32" t="s">
        <v>185</v>
      </c>
      <c r="C7" s="32" t="s">
        <v>186</v>
      </c>
      <c r="D7" s="32" t="s">
        <v>187</v>
      </c>
      <c r="E7" s="32" t="s">
        <v>184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</row>
    <row r="8" customFormat="false" ht="35.05" hidden="false" customHeight="false" outlineLevel="0" collapsed="false">
      <c r="A8" s="31" t="n">
        <v>3</v>
      </c>
      <c r="B8" s="32" t="s">
        <v>188</v>
      </c>
      <c r="C8" s="32" t="s">
        <v>189</v>
      </c>
      <c r="D8" s="32" t="s">
        <v>190</v>
      </c>
      <c r="E8" s="32" t="s">
        <v>184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</row>
    <row r="9" customFormat="false" ht="35.05" hidden="false" customHeight="false" outlineLevel="0" collapsed="false">
      <c r="A9" s="31" t="n">
        <v>4</v>
      </c>
      <c r="B9" s="32" t="s">
        <v>191</v>
      </c>
      <c r="C9" s="32" t="s">
        <v>192</v>
      </c>
      <c r="D9" s="32" t="s">
        <v>193</v>
      </c>
      <c r="E9" s="32" t="s">
        <v>194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</row>
    <row r="10" customFormat="false" ht="35.05" hidden="false" customHeight="false" outlineLevel="0" collapsed="false">
      <c r="A10" s="31" t="n">
        <v>5</v>
      </c>
      <c r="B10" s="32" t="s">
        <v>195</v>
      </c>
      <c r="C10" s="32" t="s">
        <v>196</v>
      </c>
      <c r="D10" s="32" t="s">
        <v>197</v>
      </c>
      <c r="E10" s="32" t="s">
        <v>184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</row>
    <row r="11" customFormat="false" ht="35.05" hidden="false" customHeight="false" outlineLevel="0" collapsed="false">
      <c r="A11" s="31" t="n">
        <v>6</v>
      </c>
      <c r="B11" s="32" t="s">
        <v>198</v>
      </c>
      <c r="C11" s="32" t="s">
        <v>199</v>
      </c>
      <c r="D11" s="32" t="s">
        <v>200</v>
      </c>
      <c r="E11" s="32" t="s">
        <v>184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</row>
    <row r="12" customFormat="false" ht="35.05" hidden="false" customHeight="false" outlineLevel="0" collapsed="false">
      <c r="A12" s="31" t="n">
        <v>7</v>
      </c>
      <c r="B12" s="32" t="s">
        <v>201</v>
      </c>
      <c r="C12" s="32" t="s">
        <v>202</v>
      </c>
      <c r="D12" s="32" t="s">
        <v>203</v>
      </c>
      <c r="E12" s="32" t="s">
        <v>184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</row>
    <row r="13" customFormat="false" ht="35.05" hidden="false" customHeight="false" outlineLevel="0" collapsed="false">
      <c r="A13" s="31" t="n">
        <v>8</v>
      </c>
      <c r="B13" s="32" t="s">
        <v>204</v>
      </c>
      <c r="C13" s="32" t="s">
        <v>205</v>
      </c>
      <c r="D13" s="32" t="s">
        <v>206</v>
      </c>
      <c r="E13" s="32" t="s">
        <v>184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</row>
  </sheetData>
  <mergeCells count="8">
    <mergeCell ref="A1:R1"/>
    <mergeCell ref="A2:R2"/>
    <mergeCell ref="A4:E4"/>
    <mergeCell ref="F4:G4"/>
    <mergeCell ref="H4:I4"/>
    <mergeCell ref="J4:M4"/>
    <mergeCell ref="N4:P4"/>
    <mergeCell ref="Q4:R4"/>
  </mergeCells>
  <dataValidations count="2">
    <dataValidation allowBlank="true" error="Pilih salah satu dari daftar." errorStyle="stop" operator="between" prompt="Pilih status capaian standar" showDropDown="false" showErrorMessage="false" showInputMessage="false" sqref="M6:M13" type="list">
      <formula1>"Belum Dievaluasi,Tercapai,Melampaui,Belum Tercapai,Menyimpang"</formula1>
      <formula2>0</formula2>
    </dataValidation>
    <dataValidation allowBlank="true" errorStyle="stop" operator="between" showDropDown="false" showErrorMessage="false" showInputMessage="false" sqref="J6:J13" type="list">
      <formula1>"AMAI,EMI,Audit Non-Akademik,Evaluasi Diri,Audit LPMA"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R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24"/>
    <col collapsed="false" customWidth="true" hidden="false" outlineLevel="0" max="18" min="6" style="0" width="22"/>
  </cols>
  <sheetData>
    <row r="1" customFormat="false" ht="25.5" hidden="false" customHeight="true" outlineLevel="0" collapsed="false">
      <c r="A1" s="21" t="s">
        <v>207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customFormat="false" ht="15.75" hidden="false" customHeight="true" outlineLevel="0" collapsed="false">
      <c r="A2" s="22" t="s">
        <v>121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4" customFormat="false" ht="18" hidden="false" customHeight="true" outlineLevel="0" collapsed="false">
      <c r="A4" s="23" t="s">
        <v>122</v>
      </c>
      <c r="B4" s="23"/>
      <c r="C4" s="23"/>
      <c r="D4" s="23"/>
      <c r="E4" s="23"/>
      <c r="F4" s="24" t="s">
        <v>123</v>
      </c>
      <c r="G4" s="24"/>
      <c r="H4" s="25" t="s">
        <v>124</v>
      </c>
      <c r="I4" s="25"/>
      <c r="J4" s="26" t="s">
        <v>125</v>
      </c>
      <c r="K4" s="26"/>
      <c r="L4" s="26"/>
      <c r="M4" s="26"/>
      <c r="N4" s="27" t="s">
        <v>126</v>
      </c>
      <c r="O4" s="27"/>
      <c r="P4" s="27"/>
      <c r="Q4" s="28" t="s">
        <v>127</v>
      </c>
      <c r="R4" s="28"/>
    </row>
    <row r="5" customFormat="false" ht="31.5" hidden="false" customHeight="true" outlineLevel="0" collapsed="false">
      <c r="A5" s="29" t="s">
        <v>128</v>
      </c>
      <c r="B5" s="29" t="s">
        <v>95</v>
      </c>
      <c r="C5" s="29" t="s">
        <v>129</v>
      </c>
      <c r="D5" s="29" t="s">
        <v>130</v>
      </c>
      <c r="E5" s="29" t="s">
        <v>131</v>
      </c>
      <c r="F5" s="30" t="s">
        <v>97</v>
      </c>
      <c r="G5" s="30" t="s">
        <v>99</v>
      </c>
      <c r="H5" s="30" t="s">
        <v>101</v>
      </c>
      <c r="I5" s="30" t="s">
        <v>103</v>
      </c>
      <c r="J5" s="30" t="s">
        <v>105</v>
      </c>
      <c r="K5" s="30" t="s">
        <v>107</v>
      </c>
      <c r="L5" s="30" t="s">
        <v>109</v>
      </c>
      <c r="M5" s="30" t="s">
        <v>111</v>
      </c>
      <c r="N5" s="30" t="s">
        <v>112</v>
      </c>
      <c r="O5" s="30" t="s">
        <v>114</v>
      </c>
      <c r="P5" s="30" t="s">
        <v>132</v>
      </c>
      <c r="Q5" s="30" t="s">
        <v>115</v>
      </c>
      <c r="R5" s="30" t="s">
        <v>117</v>
      </c>
    </row>
    <row r="6" customFormat="false" ht="35.05" hidden="false" customHeight="false" outlineLevel="0" collapsed="false">
      <c r="A6" s="31" t="n">
        <v>1</v>
      </c>
      <c r="B6" s="32" t="s">
        <v>208</v>
      </c>
      <c r="C6" s="32" t="s">
        <v>209</v>
      </c>
      <c r="D6" s="32" t="s">
        <v>210</v>
      </c>
      <c r="E6" s="32" t="s">
        <v>184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customFormat="false" ht="35.05" hidden="false" customHeight="false" outlineLevel="0" collapsed="false">
      <c r="A7" s="31" t="n">
        <v>2</v>
      </c>
      <c r="B7" s="32" t="s">
        <v>211</v>
      </c>
      <c r="C7" s="32" t="s">
        <v>212</v>
      </c>
      <c r="D7" s="32" t="s">
        <v>213</v>
      </c>
      <c r="E7" s="32" t="s">
        <v>184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</row>
    <row r="8" customFormat="false" ht="35.05" hidden="false" customHeight="false" outlineLevel="0" collapsed="false">
      <c r="A8" s="31" t="n">
        <v>3</v>
      </c>
      <c r="B8" s="32" t="s">
        <v>214</v>
      </c>
      <c r="C8" s="32" t="s">
        <v>215</v>
      </c>
      <c r="D8" s="32" t="s">
        <v>216</v>
      </c>
      <c r="E8" s="32" t="s">
        <v>184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</row>
    <row r="9" customFormat="false" ht="35.05" hidden="false" customHeight="false" outlineLevel="0" collapsed="false">
      <c r="A9" s="31" t="n">
        <v>4</v>
      </c>
      <c r="B9" s="32" t="s">
        <v>217</v>
      </c>
      <c r="C9" s="32" t="s">
        <v>218</v>
      </c>
      <c r="D9" s="32" t="s">
        <v>219</v>
      </c>
      <c r="E9" s="32" t="s">
        <v>220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</row>
    <row r="10" customFormat="false" ht="35.05" hidden="false" customHeight="false" outlineLevel="0" collapsed="false">
      <c r="A10" s="31" t="n">
        <v>5</v>
      </c>
      <c r="B10" s="32" t="s">
        <v>221</v>
      </c>
      <c r="C10" s="32" t="s">
        <v>222</v>
      </c>
      <c r="D10" s="32" t="s">
        <v>223</v>
      </c>
      <c r="E10" s="32" t="s">
        <v>224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</row>
    <row r="11" customFormat="false" ht="35.05" hidden="false" customHeight="false" outlineLevel="0" collapsed="false">
      <c r="A11" s="31" t="n">
        <v>6</v>
      </c>
      <c r="B11" s="32" t="s">
        <v>225</v>
      </c>
      <c r="C11" s="32" t="s">
        <v>226</v>
      </c>
      <c r="D11" s="32" t="s">
        <v>227</v>
      </c>
      <c r="E11" s="32" t="s">
        <v>228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</row>
    <row r="12" customFormat="false" ht="35.05" hidden="false" customHeight="false" outlineLevel="0" collapsed="false">
      <c r="A12" s="31" t="n">
        <v>7</v>
      </c>
      <c r="B12" s="32" t="s">
        <v>229</v>
      </c>
      <c r="C12" s="32" t="s">
        <v>230</v>
      </c>
      <c r="D12" s="32" t="s">
        <v>231</v>
      </c>
      <c r="E12" s="32" t="s">
        <v>232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</row>
    <row r="13" customFormat="false" ht="35.05" hidden="false" customHeight="false" outlineLevel="0" collapsed="false">
      <c r="A13" s="31" t="n">
        <v>8</v>
      </c>
      <c r="B13" s="32" t="s">
        <v>233</v>
      </c>
      <c r="C13" s="32" t="s">
        <v>234</v>
      </c>
      <c r="D13" s="32" t="s">
        <v>235</v>
      </c>
      <c r="E13" s="32" t="s">
        <v>184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</row>
  </sheetData>
  <mergeCells count="8">
    <mergeCell ref="A1:R1"/>
    <mergeCell ref="A2:R2"/>
    <mergeCell ref="A4:E4"/>
    <mergeCell ref="F4:G4"/>
    <mergeCell ref="H4:I4"/>
    <mergeCell ref="J4:M4"/>
    <mergeCell ref="N4:P4"/>
    <mergeCell ref="Q4:R4"/>
  </mergeCells>
  <dataValidations count="2">
    <dataValidation allowBlank="true" error="Pilih salah satu dari daftar." errorStyle="stop" operator="between" prompt="Pilih status capaian standar" showDropDown="false" showErrorMessage="false" showInputMessage="false" sqref="M6:M13" type="list">
      <formula1>"Belum Dievaluasi,Tercapai,Melampaui,Belum Tercapai,Menyimpang"</formula1>
      <formula2>0</formula2>
    </dataValidation>
    <dataValidation allowBlank="true" errorStyle="stop" operator="between" showDropDown="false" showErrorMessage="false" showInputMessage="false" sqref="J6:J13" type="list">
      <formula1>"AMAI,EMI,Audit Non-Akademik,Evaluasi Diri,Audit LPMA"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R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24"/>
    <col collapsed="false" customWidth="true" hidden="false" outlineLevel="0" max="18" min="6" style="0" width="22"/>
  </cols>
  <sheetData>
    <row r="1" customFormat="false" ht="25.5" hidden="false" customHeight="true" outlineLevel="0" collapsed="false">
      <c r="A1" s="21" t="s">
        <v>236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customFormat="false" ht="15.75" hidden="false" customHeight="true" outlineLevel="0" collapsed="false">
      <c r="A2" s="22" t="s">
        <v>237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4" customFormat="false" ht="18" hidden="false" customHeight="true" outlineLevel="0" collapsed="false">
      <c r="A4" s="23" t="s">
        <v>122</v>
      </c>
      <c r="B4" s="23"/>
      <c r="C4" s="23"/>
      <c r="D4" s="23"/>
      <c r="E4" s="23"/>
      <c r="F4" s="24" t="s">
        <v>123</v>
      </c>
      <c r="G4" s="24"/>
      <c r="H4" s="25" t="s">
        <v>124</v>
      </c>
      <c r="I4" s="25"/>
      <c r="J4" s="26" t="s">
        <v>125</v>
      </c>
      <c r="K4" s="26"/>
      <c r="L4" s="26"/>
      <c r="M4" s="26"/>
      <c r="N4" s="27" t="s">
        <v>126</v>
      </c>
      <c r="O4" s="27"/>
      <c r="P4" s="27"/>
      <c r="Q4" s="28" t="s">
        <v>127</v>
      </c>
      <c r="R4" s="28"/>
    </row>
    <row r="5" customFormat="false" ht="31.5" hidden="false" customHeight="true" outlineLevel="0" collapsed="false">
      <c r="A5" s="29" t="s">
        <v>128</v>
      </c>
      <c r="B5" s="29" t="s">
        <v>95</v>
      </c>
      <c r="C5" s="29" t="s">
        <v>129</v>
      </c>
      <c r="D5" s="29" t="s">
        <v>130</v>
      </c>
      <c r="E5" s="29" t="s">
        <v>131</v>
      </c>
      <c r="F5" s="30" t="s">
        <v>97</v>
      </c>
      <c r="G5" s="30" t="s">
        <v>99</v>
      </c>
      <c r="H5" s="30" t="s">
        <v>101</v>
      </c>
      <c r="I5" s="30" t="s">
        <v>103</v>
      </c>
      <c r="J5" s="30" t="s">
        <v>105</v>
      </c>
      <c r="K5" s="30" t="s">
        <v>107</v>
      </c>
      <c r="L5" s="30" t="s">
        <v>109</v>
      </c>
      <c r="M5" s="30" t="s">
        <v>111</v>
      </c>
      <c r="N5" s="30" t="s">
        <v>112</v>
      </c>
      <c r="O5" s="30" t="s">
        <v>114</v>
      </c>
      <c r="P5" s="30" t="s">
        <v>132</v>
      </c>
      <c r="Q5" s="30" t="s">
        <v>115</v>
      </c>
      <c r="R5" s="30" t="s">
        <v>117</v>
      </c>
    </row>
    <row r="6" customFormat="false" ht="57.45" hidden="false" customHeight="false" outlineLevel="0" collapsed="false">
      <c r="A6" s="31" t="n">
        <v>1</v>
      </c>
      <c r="B6" s="32" t="s">
        <v>238</v>
      </c>
      <c r="C6" s="32" t="s">
        <v>239</v>
      </c>
      <c r="D6" s="32" t="s">
        <v>240</v>
      </c>
      <c r="E6" s="32" t="s">
        <v>241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customFormat="false" ht="35.05" hidden="false" customHeight="false" outlineLevel="0" collapsed="false">
      <c r="A7" s="31" t="n">
        <v>2</v>
      </c>
      <c r="B7" s="32" t="s">
        <v>242</v>
      </c>
      <c r="C7" s="32" t="s">
        <v>243</v>
      </c>
      <c r="D7" s="32" t="s">
        <v>244</v>
      </c>
      <c r="E7" s="32" t="s">
        <v>245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</row>
    <row r="8" customFormat="false" ht="46.25" hidden="false" customHeight="false" outlineLevel="0" collapsed="false">
      <c r="A8" s="31" t="n">
        <v>3</v>
      </c>
      <c r="B8" s="32" t="s">
        <v>246</v>
      </c>
      <c r="C8" s="32" t="s">
        <v>247</v>
      </c>
      <c r="D8" s="32" t="s">
        <v>248</v>
      </c>
      <c r="E8" s="32" t="s">
        <v>249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</row>
    <row r="9" customFormat="false" ht="35.05" hidden="false" customHeight="false" outlineLevel="0" collapsed="false">
      <c r="A9" s="31" t="n">
        <v>4</v>
      </c>
      <c r="B9" s="32" t="s">
        <v>250</v>
      </c>
      <c r="C9" s="32" t="s">
        <v>251</v>
      </c>
      <c r="D9" s="32" t="s">
        <v>252</v>
      </c>
      <c r="E9" s="32" t="s">
        <v>253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</row>
    <row r="10" customFormat="false" ht="23.85" hidden="false" customHeight="false" outlineLevel="0" collapsed="false">
      <c r="A10" s="31" t="n">
        <v>5</v>
      </c>
      <c r="B10" s="32" t="s">
        <v>254</v>
      </c>
      <c r="C10" s="32" t="s">
        <v>255</v>
      </c>
      <c r="D10" s="32" t="s">
        <v>256</v>
      </c>
      <c r="E10" s="32" t="s">
        <v>257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</row>
    <row r="11" customFormat="false" ht="35.05" hidden="false" customHeight="false" outlineLevel="0" collapsed="false">
      <c r="A11" s="31" t="n">
        <v>6</v>
      </c>
      <c r="B11" s="32" t="s">
        <v>258</v>
      </c>
      <c r="C11" s="32" t="s">
        <v>259</v>
      </c>
      <c r="D11" s="32" t="s">
        <v>260</v>
      </c>
      <c r="E11" s="32" t="s">
        <v>261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</row>
    <row r="12" customFormat="false" ht="35.05" hidden="false" customHeight="false" outlineLevel="0" collapsed="false">
      <c r="A12" s="31" t="n">
        <v>7</v>
      </c>
      <c r="B12" s="32" t="s">
        <v>262</v>
      </c>
      <c r="C12" s="32" t="s">
        <v>263</v>
      </c>
      <c r="D12" s="32" t="s">
        <v>264</v>
      </c>
      <c r="E12" s="32" t="s">
        <v>265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</row>
    <row r="13" customFormat="false" ht="35.05" hidden="false" customHeight="false" outlineLevel="0" collapsed="false">
      <c r="A13" s="31" t="n">
        <v>8</v>
      </c>
      <c r="B13" s="32" t="s">
        <v>266</v>
      </c>
      <c r="C13" s="32" t="s">
        <v>267</v>
      </c>
      <c r="D13" s="32" t="s">
        <v>268</v>
      </c>
      <c r="E13" s="32" t="s">
        <v>269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</row>
    <row r="14" customFormat="false" ht="23.85" hidden="false" customHeight="false" outlineLevel="0" collapsed="false">
      <c r="A14" s="31" t="n">
        <v>9</v>
      </c>
      <c r="B14" s="32" t="s">
        <v>270</v>
      </c>
      <c r="C14" s="32" t="s">
        <v>271</v>
      </c>
      <c r="D14" s="32" t="s">
        <v>272</v>
      </c>
      <c r="E14" s="32" t="s">
        <v>273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</row>
  </sheetData>
  <mergeCells count="8">
    <mergeCell ref="A1:R1"/>
    <mergeCell ref="A2:R2"/>
    <mergeCell ref="A4:E4"/>
    <mergeCell ref="F4:G4"/>
    <mergeCell ref="H4:I4"/>
    <mergeCell ref="J4:M4"/>
    <mergeCell ref="N4:P4"/>
    <mergeCell ref="Q4:R4"/>
  </mergeCells>
  <dataValidations count="2">
    <dataValidation allowBlank="true" error="Pilih salah satu dari daftar." errorStyle="stop" operator="between" prompt="Pilih status capaian standar" showDropDown="false" showErrorMessage="false" showInputMessage="false" sqref="M6:M14" type="list">
      <formula1>"Belum Dievaluasi,Tercapai,Melampaui,Belum Tercapai,Menyimpang"</formula1>
      <formula2>0</formula2>
    </dataValidation>
    <dataValidation allowBlank="true" errorStyle="stop" operator="between" showDropDown="false" showErrorMessage="false" showInputMessage="false" sqref="J6:J14" type="list">
      <formula1>"AMAI,EMI,Audit Non-Akademik,Evaluasi Diri,Audit LPMA"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R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24"/>
    <col collapsed="false" customWidth="true" hidden="false" outlineLevel="0" max="18" min="6" style="0" width="22"/>
  </cols>
  <sheetData>
    <row r="1" customFormat="false" ht="25.5" hidden="false" customHeight="true" outlineLevel="0" collapsed="false">
      <c r="A1" s="21" t="s">
        <v>274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customFormat="false" ht="15.75" hidden="false" customHeight="true" outlineLevel="0" collapsed="false">
      <c r="A2" s="22" t="s">
        <v>237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4" customFormat="false" ht="18" hidden="false" customHeight="true" outlineLevel="0" collapsed="false">
      <c r="A4" s="23" t="s">
        <v>122</v>
      </c>
      <c r="B4" s="23"/>
      <c r="C4" s="23"/>
      <c r="D4" s="23"/>
      <c r="E4" s="23"/>
      <c r="F4" s="24" t="s">
        <v>123</v>
      </c>
      <c r="G4" s="24"/>
      <c r="H4" s="25" t="s">
        <v>124</v>
      </c>
      <c r="I4" s="25"/>
      <c r="J4" s="26" t="s">
        <v>125</v>
      </c>
      <c r="K4" s="26"/>
      <c r="L4" s="26"/>
      <c r="M4" s="26"/>
      <c r="N4" s="27" t="s">
        <v>126</v>
      </c>
      <c r="O4" s="27"/>
      <c r="P4" s="27"/>
      <c r="Q4" s="28" t="s">
        <v>127</v>
      </c>
      <c r="R4" s="28"/>
    </row>
    <row r="5" customFormat="false" ht="31.5" hidden="false" customHeight="true" outlineLevel="0" collapsed="false">
      <c r="A5" s="29" t="s">
        <v>128</v>
      </c>
      <c r="B5" s="29" t="s">
        <v>95</v>
      </c>
      <c r="C5" s="29" t="s">
        <v>129</v>
      </c>
      <c r="D5" s="29" t="s">
        <v>130</v>
      </c>
      <c r="E5" s="29" t="s">
        <v>131</v>
      </c>
      <c r="F5" s="30" t="s">
        <v>97</v>
      </c>
      <c r="G5" s="30" t="s">
        <v>99</v>
      </c>
      <c r="H5" s="30" t="s">
        <v>101</v>
      </c>
      <c r="I5" s="30" t="s">
        <v>103</v>
      </c>
      <c r="J5" s="30" t="s">
        <v>105</v>
      </c>
      <c r="K5" s="30" t="s">
        <v>107</v>
      </c>
      <c r="L5" s="30" t="s">
        <v>109</v>
      </c>
      <c r="M5" s="30" t="s">
        <v>111</v>
      </c>
      <c r="N5" s="30" t="s">
        <v>112</v>
      </c>
      <c r="O5" s="30" t="s">
        <v>114</v>
      </c>
      <c r="P5" s="30" t="s">
        <v>132</v>
      </c>
      <c r="Q5" s="30" t="s">
        <v>115</v>
      </c>
      <c r="R5" s="30" t="s">
        <v>117</v>
      </c>
    </row>
    <row r="6" customFormat="false" ht="46.25" hidden="false" customHeight="false" outlineLevel="0" collapsed="false">
      <c r="A6" s="31" t="n">
        <v>1</v>
      </c>
      <c r="B6" s="32" t="s">
        <v>275</v>
      </c>
      <c r="C6" s="32" t="s">
        <v>276</v>
      </c>
      <c r="D6" s="32" t="s">
        <v>277</v>
      </c>
      <c r="E6" s="32" t="s">
        <v>278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customFormat="false" ht="46.25" hidden="false" customHeight="false" outlineLevel="0" collapsed="false">
      <c r="A7" s="31" t="n">
        <v>2</v>
      </c>
      <c r="B7" s="32" t="s">
        <v>279</v>
      </c>
      <c r="C7" s="32" t="s">
        <v>280</v>
      </c>
      <c r="D7" s="32" t="s">
        <v>281</v>
      </c>
      <c r="E7" s="32" t="s">
        <v>282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</row>
    <row r="8" customFormat="false" ht="46.25" hidden="false" customHeight="false" outlineLevel="0" collapsed="false">
      <c r="A8" s="31" t="n">
        <v>3</v>
      </c>
      <c r="B8" s="32" t="s">
        <v>283</v>
      </c>
      <c r="C8" s="32" t="s">
        <v>284</v>
      </c>
      <c r="D8" s="32" t="s">
        <v>285</v>
      </c>
      <c r="E8" s="32" t="s">
        <v>249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</row>
    <row r="9" customFormat="false" ht="23.85" hidden="false" customHeight="false" outlineLevel="0" collapsed="false">
      <c r="A9" s="31" t="n">
        <v>4</v>
      </c>
      <c r="B9" s="32" t="s">
        <v>286</v>
      </c>
      <c r="C9" s="32" t="s">
        <v>287</v>
      </c>
      <c r="D9" s="32" t="s">
        <v>288</v>
      </c>
      <c r="E9" s="32" t="s">
        <v>289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</row>
    <row r="10" customFormat="false" ht="23.85" hidden="false" customHeight="false" outlineLevel="0" collapsed="false">
      <c r="A10" s="31" t="n">
        <v>5</v>
      </c>
      <c r="B10" s="32" t="s">
        <v>290</v>
      </c>
      <c r="C10" s="32" t="s">
        <v>291</v>
      </c>
      <c r="D10" s="32" t="s">
        <v>292</v>
      </c>
      <c r="E10" s="32" t="s">
        <v>293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</row>
    <row r="11" customFormat="false" ht="46.25" hidden="false" customHeight="false" outlineLevel="0" collapsed="false">
      <c r="A11" s="31" t="n">
        <v>6</v>
      </c>
      <c r="B11" s="32" t="s">
        <v>294</v>
      </c>
      <c r="C11" s="32" t="s">
        <v>218</v>
      </c>
      <c r="D11" s="32" t="s">
        <v>295</v>
      </c>
      <c r="E11" s="32" t="s">
        <v>273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</row>
    <row r="12" customFormat="false" ht="35.05" hidden="false" customHeight="false" outlineLevel="0" collapsed="false">
      <c r="A12" s="31" t="n">
        <v>7</v>
      </c>
      <c r="B12" s="32" t="s">
        <v>296</v>
      </c>
      <c r="C12" s="32" t="s">
        <v>297</v>
      </c>
      <c r="D12" s="32" t="s">
        <v>298</v>
      </c>
      <c r="E12" s="32" t="s">
        <v>299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</row>
    <row r="13" customFormat="false" ht="23.85" hidden="false" customHeight="false" outlineLevel="0" collapsed="false">
      <c r="A13" s="31" t="n">
        <v>8</v>
      </c>
      <c r="B13" s="32" t="s">
        <v>300</v>
      </c>
      <c r="C13" s="32" t="s">
        <v>301</v>
      </c>
      <c r="D13" s="32" t="s">
        <v>302</v>
      </c>
      <c r="E13" s="32" t="s">
        <v>303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</row>
    <row r="14" customFormat="false" ht="46.25" hidden="false" customHeight="false" outlineLevel="0" collapsed="false">
      <c r="A14" s="31" t="n">
        <v>9</v>
      </c>
      <c r="B14" s="32" t="s">
        <v>304</v>
      </c>
      <c r="C14" s="32" t="s">
        <v>305</v>
      </c>
      <c r="D14" s="32" t="s">
        <v>306</v>
      </c>
      <c r="E14" s="32" t="s">
        <v>299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</row>
    <row r="15" customFormat="false" ht="35.05" hidden="false" customHeight="false" outlineLevel="0" collapsed="false">
      <c r="A15" s="31" t="n">
        <v>10</v>
      </c>
      <c r="B15" s="32" t="s">
        <v>307</v>
      </c>
      <c r="C15" s="32" t="s">
        <v>308</v>
      </c>
      <c r="D15" s="32" t="s">
        <v>309</v>
      </c>
      <c r="E15" s="32" t="s">
        <v>261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</row>
    <row r="16" customFormat="false" ht="35.05" hidden="false" customHeight="false" outlineLevel="0" collapsed="false">
      <c r="A16" s="31" t="n">
        <v>11</v>
      </c>
      <c r="B16" s="32" t="s">
        <v>310</v>
      </c>
      <c r="C16" s="32" t="s">
        <v>311</v>
      </c>
      <c r="D16" s="32" t="s">
        <v>312</v>
      </c>
      <c r="E16" s="32" t="s">
        <v>273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</row>
    <row r="17" customFormat="false" ht="68.65" hidden="false" customHeight="false" outlineLevel="0" collapsed="false">
      <c r="A17" s="31" t="n">
        <v>12</v>
      </c>
      <c r="B17" s="32" t="s">
        <v>313</v>
      </c>
      <c r="C17" s="32" t="s">
        <v>314</v>
      </c>
      <c r="D17" s="32" t="s">
        <v>315</v>
      </c>
      <c r="E17" s="32" t="s">
        <v>316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</row>
  </sheetData>
  <mergeCells count="8">
    <mergeCell ref="A1:R1"/>
    <mergeCell ref="A2:R2"/>
    <mergeCell ref="A4:E4"/>
    <mergeCell ref="F4:G4"/>
    <mergeCell ref="H4:I4"/>
    <mergeCell ref="J4:M4"/>
    <mergeCell ref="N4:P4"/>
    <mergeCell ref="Q4:R4"/>
  </mergeCells>
  <dataValidations count="2">
    <dataValidation allowBlank="true" error="Pilih salah satu dari daftar." errorStyle="stop" operator="between" prompt="Pilih status capaian standar" showDropDown="false" showErrorMessage="false" showInputMessage="false" sqref="M6:M17" type="list">
      <formula1>"Belum Dievaluasi,Tercapai,Melampaui,Belum Tercapai,Menyimpang"</formula1>
      <formula2>0</formula2>
    </dataValidation>
    <dataValidation allowBlank="true" errorStyle="stop" operator="between" showDropDown="false" showErrorMessage="false" showInputMessage="false" sqref="J6:J17" type="list">
      <formula1>"AMAI,EMI,Audit Non-Akademik,Evaluasi Diri,Audit LPMA"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R2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5"/>
    <col collapsed="false" customWidth="true" hidden="false" outlineLevel="0" max="6" min="6" style="0" width="46"/>
    <col collapsed="false" customWidth="true" hidden="false" outlineLevel="0" max="18" min="7" style="0" width="24"/>
  </cols>
  <sheetData>
    <row r="1" customFormat="false" ht="25.5" hidden="false" customHeight="true" outlineLevel="0" collapsed="false">
      <c r="A1" s="21" t="s">
        <v>317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customFormat="false" ht="15.75" hidden="false" customHeight="true" outlineLevel="0" collapsed="false">
      <c r="A2" s="22" t="s">
        <v>318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4" customFormat="false" ht="18" hidden="false" customHeight="true" outlineLevel="0" collapsed="false">
      <c r="A4" s="23" t="s">
        <v>319</v>
      </c>
      <c r="B4" s="23"/>
      <c r="C4" s="23"/>
      <c r="D4" s="23"/>
      <c r="E4" s="23"/>
      <c r="F4" s="23"/>
      <c r="G4" s="34" t="s">
        <v>320</v>
      </c>
      <c r="H4" s="26" t="s">
        <v>321</v>
      </c>
      <c r="I4" s="26"/>
      <c r="J4" s="26"/>
      <c r="K4" s="26"/>
      <c r="L4" s="27" t="s">
        <v>322</v>
      </c>
      <c r="M4" s="27"/>
      <c r="N4" s="27"/>
      <c r="O4" s="27"/>
      <c r="P4" s="28" t="s">
        <v>323</v>
      </c>
      <c r="Q4" s="28"/>
      <c r="R4" s="28"/>
    </row>
    <row r="5" customFormat="false" ht="31.5" hidden="false" customHeight="true" outlineLevel="0" collapsed="false">
      <c r="A5" s="29" t="s">
        <v>128</v>
      </c>
      <c r="B5" s="29" t="s">
        <v>1</v>
      </c>
      <c r="C5" s="29" t="s">
        <v>95</v>
      </c>
      <c r="D5" s="29" t="s">
        <v>129</v>
      </c>
      <c r="E5" s="29" t="s">
        <v>324</v>
      </c>
      <c r="F5" s="29" t="s">
        <v>325</v>
      </c>
      <c r="G5" s="30" t="s">
        <v>326</v>
      </c>
      <c r="H5" s="30" t="s">
        <v>327</v>
      </c>
      <c r="I5" s="30" t="s">
        <v>328</v>
      </c>
      <c r="J5" s="30" t="s">
        <v>329</v>
      </c>
      <c r="K5" s="30" t="s">
        <v>330</v>
      </c>
      <c r="L5" s="30" t="s">
        <v>331</v>
      </c>
      <c r="M5" s="30" t="s">
        <v>332</v>
      </c>
      <c r="N5" s="30" t="s">
        <v>333</v>
      </c>
      <c r="O5" s="30" t="s">
        <v>334</v>
      </c>
      <c r="P5" s="30" t="s">
        <v>335</v>
      </c>
      <c r="Q5" s="30" t="s">
        <v>336</v>
      </c>
      <c r="R5" s="30" t="s">
        <v>337</v>
      </c>
    </row>
    <row r="6" customFormat="false" ht="46.25" hidden="false" customHeight="false" outlineLevel="0" collapsed="false">
      <c r="A6" s="31" t="n">
        <v>1</v>
      </c>
      <c r="B6" s="31" t="s">
        <v>338</v>
      </c>
      <c r="C6" s="31" t="s">
        <v>133</v>
      </c>
      <c r="D6" s="32" t="s">
        <v>134</v>
      </c>
      <c r="E6" s="35" t="s">
        <v>123</v>
      </c>
      <c r="F6" s="32" t="s">
        <v>339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customFormat="false" ht="46.25" hidden="false" customHeight="false" outlineLevel="0" collapsed="false">
      <c r="A7" s="31" t="n">
        <v>1</v>
      </c>
      <c r="B7" s="31" t="s">
        <v>338</v>
      </c>
      <c r="C7" s="31" t="s">
        <v>133</v>
      </c>
      <c r="D7" s="32" t="s">
        <v>134</v>
      </c>
      <c r="E7" s="36" t="s">
        <v>124</v>
      </c>
      <c r="F7" s="32" t="s">
        <v>340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</row>
    <row r="8" customFormat="false" ht="46.25" hidden="false" customHeight="false" outlineLevel="0" collapsed="false">
      <c r="A8" s="31" t="n">
        <v>1</v>
      </c>
      <c r="B8" s="31" t="s">
        <v>338</v>
      </c>
      <c r="C8" s="31" t="s">
        <v>133</v>
      </c>
      <c r="D8" s="32" t="s">
        <v>134</v>
      </c>
      <c r="E8" s="37" t="s">
        <v>125</v>
      </c>
      <c r="F8" s="32" t="s">
        <v>341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</row>
    <row r="9" customFormat="false" ht="46.25" hidden="false" customHeight="false" outlineLevel="0" collapsed="false">
      <c r="A9" s="31" t="n">
        <v>1</v>
      </c>
      <c r="B9" s="31" t="s">
        <v>338</v>
      </c>
      <c r="C9" s="31" t="s">
        <v>133</v>
      </c>
      <c r="D9" s="32" t="s">
        <v>134</v>
      </c>
      <c r="E9" s="38" t="s">
        <v>126</v>
      </c>
      <c r="F9" s="32" t="s">
        <v>342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</row>
    <row r="10" customFormat="false" ht="46.25" hidden="false" customHeight="false" outlineLevel="0" collapsed="false">
      <c r="A10" s="31" t="n">
        <v>1</v>
      </c>
      <c r="B10" s="31" t="s">
        <v>338</v>
      </c>
      <c r="C10" s="31" t="s">
        <v>133</v>
      </c>
      <c r="D10" s="32" t="s">
        <v>134</v>
      </c>
      <c r="E10" s="39" t="s">
        <v>127</v>
      </c>
      <c r="F10" s="32" t="s">
        <v>343</v>
      </c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</row>
    <row r="11" customFormat="false" ht="46.25" hidden="false" customHeight="false" outlineLevel="0" collapsed="false">
      <c r="A11" s="31" t="n">
        <v>2</v>
      </c>
      <c r="B11" s="31" t="s">
        <v>338</v>
      </c>
      <c r="C11" s="31" t="s">
        <v>137</v>
      </c>
      <c r="D11" s="32" t="s">
        <v>138</v>
      </c>
      <c r="E11" s="35" t="s">
        <v>123</v>
      </c>
      <c r="F11" s="32" t="s">
        <v>344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</row>
    <row r="12" customFormat="false" ht="46.25" hidden="false" customHeight="false" outlineLevel="0" collapsed="false">
      <c r="A12" s="31" t="n">
        <v>2</v>
      </c>
      <c r="B12" s="31" t="s">
        <v>338</v>
      </c>
      <c r="C12" s="31" t="s">
        <v>137</v>
      </c>
      <c r="D12" s="32" t="s">
        <v>138</v>
      </c>
      <c r="E12" s="36" t="s">
        <v>124</v>
      </c>
      <c r="F12" s="32" t="s">
        <v>345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</row>
    <row r="13" customFormat="false" ht="46.25" hidden="false" customHeight="false" outlineLevel="0" collapsed="false">
      <c r="A13" s="31" t="n">
        <v>2</v>
      </c>
      <c r="B13" s="31" t="s">
        <v>338</v>
      </c>
      <c r="C13" s="31" t="s">
        <v>137</v>
      </c>
      <c r="D13" s="32" t="s">
        <v>138</v>
      </c>
      <c r="E13" s="37" t="s">
        <v>125</v>
      </c>
      <c r="F13" s="32" t="s">
        <v>346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</row>
    <row r="14" customFormat="false" ht="46.25" hidden="false" customHeight="false" outlineLevel="0" collapsed="false">
      <c r="A14" s="31" t="n">
        <v>2</v>
      </c>
      <c r="B14" s="31" t="s">
        <v>338</v>
      </c>
      <c r="C14" s="31" t="s">
        <v>137</v>
      </c>
      <c r="D14" s="32" t="s">
        <v>138</v>
      </c>
      <c r="E14" s="38" t="s">
        <v>126</v>
      </c>
      <c r="F14" s="32" t="s">
        <v>347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</row>
    <row r="15" customFormat="false" ht="46.25" hidden="false" customHeight="false" outlineLevel="0" collapsed="false">
      <c r="A15" s="31" t="n">
        <v>2</v>
      </c>
      <c r="B15" s="31" t="s">
        <v>338</v>
      </c>
      <c r="C15" s="31" t="s">
        <v>137</v>
      </c>
      <c r="D15" s="32" t="s">
        <v>138</v>
      </c>
      <c r="E15" s="39" t="s">
        <v>127</v>
      </c>
      <c r="F15" s="32" t="s">
        <v>348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</row>
    <row r="16" customFormat="false" ht="46.25" hidden="false" customHeight="false" outlineLevel="0" collapsed="false">
      <c r="A16" s="31" t="n">
        <v>3</v>
      </c>
      <c r="B16" s="31" t="s">
        <v>338</v>
      </c>
      <c r="C16" s="31" t="s">
        <v>140</v>
      </c>
      <c r="D16" s="32" t="s">
        <v>141</v>
      </c>
      <c r="E16" s="35" t="s">
        <v>123</v>
      </c>
      <c r="F16" s="32" t="s">
        <v>349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</row>
    <row r="17" customFormat="false" ht="46.25" hidden="false" customHeight="false" outlineLevel="0" collapsed="false">
      <c r="A17" s="31" t="n">
        <v>3</v>
      </c>
      <c r="B17" s="31" t="s">
        <v>338</v>
      </c>
      <c r="C17" s="31" t="s">
        <v>140</v>
      </c>
      <c r="D17" s="32" t="s">
        <v>141</v>
      </c>
      <c r="E17" s="36" t="s">
        <v>124</v>
      </c>
      <c r="F17" s="32" t="s">
        <v>350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</row>
    <row r="18" customFormat="false" ht="46.25" hidden="false" customHeight="false" outlineLevel="0" collapsed="false">
      <c r="A18" s="31" t="n">
        <v>3</v>
      </c>
      <c r="B18" s="31" t="s">
        <v>338</v>
      </c>
      <c r="C18" s="31" t="s">
        <v>140</v>
      </c>
      <c r="D18" s="32" t="s">
        <v>141</v>
      </c>
      <c r="E18" s="37" t="s">
        <v>125</v>
      </c>
      <c r="F18" s="32" t="s">
        <v>351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</row>
    <row r="19" customFormat="false" ht="46.25" hidden="false" customHeight="false" outlineLevel="0" collapsed="false">
      <c r="A19" s="31" t="n">
        <v>3</v>
      </c>
      <c r="B19" s="31" t="s">
        <v>338</v>
      </c>
      <c r="C19" s="31" t="s">
        <v>140</v>
      </c>
      <c r="D19" s="32" t="s">
        <v>141</v>
      </c>
      <c r="E19" s="38" t="s">
        <v>126</v>
      </c>
      <c r="F19" s="32" t="s">
        <v>352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</row>
    <row r="20" customFormat="false" ht="46.25" hidden="false" customHeight="false" outlineLevel="0" collapsed="false">
      <c r="A20" s="31" t="n">
        <v>3</v>
      </c>
      <c r="B20" s="31" t="s">
        <v>338</v>
      </c>
      <c r="C20" s="31" t="s">
        <v>140</v>
      </c>
      <c r="D20" s="32" t="s">
        <v>141</v>
      </c>
      <c r="E20" s="39" t="s">
        <v>127</v>
      </c>
      <c r="F20" s="32" t="s">
        <v>353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</row>
    <row r="21" customFormat="false" ht="46.25" hidden="false" customHeight="false" outlineLevel="0" collapsed="false">
      <c r="A21" s="31" t="n">
        <v>4</v>
      </c>
      <c r="B21" s="31" t="s">
        <v>338</v>
      </c>
      <c r="C21" s="31" t="s">
        <v>143</v>
      </c>
      <c r="D21" s="32" t="s">
        <v>144</v>
      </c>
      <c r="E21" s="35" t="s">
        <v>123</v>
      </c>
      <c r="F21" s="32" t="s">
        <v>354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</row>
    <row r="22" customFormat="false" ht="46.25" hidden="false" customHeight="false" outlineLevel="0" collapsed="false">
      <c r="A22" s="31" t="n">
        <v>4</v>
      </c>
      <c r="B22" s="31" t="s">
        <v>338</v>
      </c>
      <c r="C22" s="31" t="s">
        <v>143</v>
      </c>
      <c r="D22" s="32" t="s">
        <v>144</v>
      </c>
      <c r="E22" s="36" t="s">
        <v>124</v>
      </c>
      <c r="F22" s="32" t="s">
        <v>355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</row>
    <row r="23" customFormat="false" ht="46.25" hidden="false" customHeight="false" outlineLevel="0" collapsed="false">
      <c r="A23" s="31" t="n">
        <v>4</v>
      </c>
      <c r="B23" s="31" t="s">
        <v>338</v>
      </c>
      <c r="C23" s="31" t="s">
        <v>143</v>
      </c>
      <c r="D23" s="32" t="s">
        <v>144</v>
      </c>
      <c r="E23" s="37" t="s">
        <v>125</v>
      </c>
      <c r="F23" s="32" t="s">
        <v>356</v>
      </c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</row>
    <row r="24" customFormat="false" ht="46.25" hidden="false" customHeight="false" outlineLevel="0" collapsed="false">
      <c r="A24" s="31" t="n">
        <v>4</v>
      </c>
      <c r="B24" s="31" t="s">
        <v>338</v>
      </c>
      <c r="C24" s="31" t="s">
        <v>143</v>
      </c>
      <c r="D24" s="32" t="s">
        <v>144</v>
      </c>
      <c r="E24" s="38" t="s">
        <v>126</v>
      </c>
      <c r="F24" s="32" t="s">
        <v>357</v>
      </c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</row>
    <row r="25" customFormat="false" ht="46.25" hidden="false" customHeight="false" outlineLevel="0" collapsed="false">
      <c r="A25" s="31" t="n">
        <v>4</v>
      </c>
      <c r="B25" s="31" t="s">
        <v>338</v>
      </c>
      <c r="C25" s="31" t="s">
        <v>143</v>
      </c>
      <c r="D25" s="32" t="s">
        <v>144</v>
      </c>
      <c r="E25" s="39" t="s">
        <v>127</v>
      </c>
      <c r="F25" s="32" t="s">
        <v>358</v>
      </c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</row>
    <row r="26" customFormat="false" ht="46.25" hidden="false" customHeight="false" outlineLevel="0" collapsed="false">
      <c r="A26" s="31" t="n">
        <v>5</v>
      </c>
      <c r="B26" s="31" t="s">
        <v>338</v>
      </c>
      <c r="C26" s="31" t="s">
        <v>147</v>
      </c>
      <c r="D26" s="32" t="s">
        <v>148</v>
      </c>
      <c r="E26" s="35" t="s">
        <v>123</v>
      </c>
      <c r="F26" s="32" t="s">
        <v>359</v>
      </c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</row>
    <row r="27" customFormat="false" ht="46.25" hidden="false" customHeight="false" outlineLevel="0" collapsed="false">
      <c r="A27" s="31" t="n">
        <v>5</v>
      </c>
      <c r="B27" s="31" t="s">
        <v>338</v>
      </c>
      <c r="C27" s="31" t="s">
        <v>147</v>
      </c>
      <c r="D27" s="32" t="s">
        <v>148</v>
      </c>
      <c r="E27" s="36" t="s">
        <v>124</v>
      </c>
      <c r="F27" s="32" t="s">
        <v>360</v>
      </c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</row>
    <row r="28" customFormat="false" ht="46.25" hidden="false" customHeight="false" outlineLevel="0" collapsed="false">
      <c r="A28" s="31" t="n">
        <v>5</v>
      </c>
      <c r="B28" s="31" t="s">
        <v>338</v>
      </c>
      <c r="C28" s="31" t="s">
        <v>147</v>
      </c>
      <c r="D28" s="32" t="s">
        <v>148</v>
      </c>
      <c r="E28" s="37" t="s">
        <v>125</v>
      </c>
      <c r="F28" s="32" t="s">
        <v>361</v>
      </c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</row>
    <row r="29" customFormat="false" ht="46.25" hidden="false" customHeight="false" outlineLevel="0" collapsed="false">
      <c r="A29" s="31" t="n">
        <v>5</v>
      </c>
      <c r="B29" s="31" t="s">
        <v>338</v>
      </c>
      <c r="C29" s="31" t="s">
        <v>147</v>
      </c>
      <c r="D29" s="32" t="s">
        <v>148</v>
      </c>
      <c r="E29" s="38" t="s">
        <v>126</v>
      </c>
      <c r="F29" s="32" t="s">
        <v>362</v>
      </c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</row>
    <row r="30" customFormat="false" ht="46.25" hidden="false" customHeight="false" outlineLevel="0" collapsed="false">
      <c r="A30" s="31" t="n">
        <v>5</v>
      </c>
      <c r="B30" s="31" t="s">
        <v>338</v>
      </c>
      <c r="C30" s="31" t="s">
        <v>147</v>
      </c>
      <c r="D30" s="32" t="s">
        <v>148</v>
      </c>
      <c r="E30" s="39" t="s">
        <v>127</v>
      </c>
      <c r="F30" s="32" t="s">
        <v>363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</row>
    <row r="31" customFormat="false" ht="46.25" hidden="false" customHeight="false" outlineLevel="0" collapsed="false">
      <c r="A31" s="31" t="n">
        <v>6</v>
      </c>
      <c r="B31" s="31" t="s">
        <v>338</v>
      </c>
      <c r="C31" s="31" t="s">
        <v>150</v>
      </c>
      <c r="D31" s="32" t="s">
        <v>151</v>
      </c>
      <c r="E31" s="35" t="s">
        <v>123</v>
      </c>
      <c r="F31" s="32" t="s">
        <v>364</v>
      </c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</row>
    <row r="32" customFormat="false" ht="46.25" hidden="false" customHeight="false" outlineLevel="0" collapsed="false">
      <c r="A32" s="31" t="n">
        <v>6</v>
      </c>
      <c r="B32" s="31" t="s">
        <v>338</v>
      </c>
      <c r="C32" s="31" t="s">
        <v>150</v>
      </c>
      <c r="D32" s="32" t="s">
        <v>151</v>
      </c>
      <c r="E32" s="36" t="s">
        <v>124</v>
      </c>
      <c r="F32" s="32" t="s">
        <v>365</v>
      </c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</row>
    <row r="33" customFormat="false" ht="46.25" hidden="false" customHeight="false" outlineLevel="0" collapsed="false">
      <c r="A33" s="31" t="n">
        <v>6</v>
      </c>
      <c r="B33" s="31" t="s">
        <v>338</v>
      </c>
      <c r="C33" s="31" t="s">
        <v>150</v>
      </c>
      <c r="D33" s="32" t="s">
        <v>151</v>
      </c>
      <c r="E33" s="37" t="s">
        <v>125</v>
      </c>
      <c r="F33" s="32" t="s">
        <v>366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customFormat="false" ht="46.25" hidden="false" customHeight="false" outlineLevel="0" collapsed="false">
      <c r="A34" s="31" t="n">
        <v>6</v>
      </c>
      <c r="B34" s="31" t="s">
        <v>338</v>
      </c>
      <c r="C34" s="31" t="s">
        <v>150</v>
      </c>
      <c r="D34" s="32" t="s">
        <v>151</v>
      </c>
      <c r="E34" s="38" t="s">
        <v>126</v>
      </c>
      <c r="F34" s="32" t="s">
        <v>367</v>
      </c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customFormat="false" ht="46.25" hidden="false" customHeight="false" outlineLevel="0" collapsed="false">
      <c r="A35" s="31" t="n">
        <v>6</v>
      </c>
      <c r="B35" s="31" t="s">
        <v>338</v>
      </c>
      <c r="C35" s="31" t="s">
        <v>150</v>
      </c>
      <c r="D35" s="32" t="s">
        <v>151</v>
      </c>
      <c r="E35" s="39" t="s">
        <v>127</v>
      </c>
      <c r="F35" s="32" t="s">
        <v>368</v>
      </c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</row>
    <row r="36" customFormat="false" ht="46.25" hidden="false" customHeight="false" outlineLevel="0" collapsed="false">
      <c r="A36" s="31" t="n">
        <v>7</v>
      </c>
      <c r="B36" s="31" t="s">
        <v>338</v>
      </c>
      <c r="C36" s="31" t="s">
        <v>154</v>
      </c>
      <c r="D36" s="32" t="s">
        <v>155</v>
      </c>
      <c r="E36" s="35" t="s">
        <v>123</v>
      </c>
      <c r="F36" s="32" t="s">
        <v>369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customFormat="false" ht="46.25" hidden="false" customHeight="false" outlineLevel="0" collapsed="false">
      <c r="A37" s="31" t="n">
        <v>7</v>
      </c>
      <c r="B37" s="31" t="s">
        <v>338</v>
      </c>
      <c r="C37" s="31" t="s">
        <v>154</v>
      </c>
      <c r="D37" s="32" t="s">
        <v>155</v>
      </c>
      <c r="E37" s="36" t="s">
        <v>124</v>
      </c>
      <c r="F37" s="32" t="s">
        <v>370</v>
      </c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  <row r="38" customFormat="false" ht="46.25" hidden="false" customHeight="false" outlineLevel="0" collapsed="false">
      <c r="A38" s="31" t="n">
        <v>7</v>
      </c>
      <c r="B38" s="31" t="s">
        <v>338</v>
      </c>
      <c r="C38" s="31" t="s">
        <v>154</v>
      </c>
      <c r="D38" s="32" t="s">
        <v>155</v>
      </c>
      <c r="E38" s="37" t="s">
        <v>125</v>
      </c>
      <c r="F38" s="32" t="s">
        <v>371</v>
      </c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  <row r="39" customFormat="false" ht="46.25" hidden="false" customHeight="false" outlineLevel="0" collapsed="false">
      <c r="A39" s="31" t="n">
        <v>7</v>
      </c>
      <c r="B39" s="31" t="s">
        <v>338</v>
      </c>
      <c r="C39" s="31" t="s">
        <v>154</v>
      </c>
      <c r="D39" s="32" t="s">
        <v>155</v>
      </c>
      <c r="E39" s="38" t="s">
        <v>126</v>
      </c>
      <c r="F39" s="32" t="s">
        <v>372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</row>
    <row r="40" customFormat="false" ht="46.25" hidden="false" customHeight="false" outlineLevel="0" collapsed="false">
      <c r="A40" s="31" t="n">
        <v>7</v>
      </c>
      <c r="B40" s="31" t="s">
        <v>338</v>
      </c>
      <c r="C40" s="31" t="s">
        <v>154</v>
      </c>
      <c r="D40" s="32" t="s">
        <v>155</v>
      </c>
      <c r="E40" s="39" t="s">
        <v>127</v>
      </c>
      <c r="F40" s="32" t="s">
        <v>373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</row>
    <row r="41" customFormat="false" ht="46.25" hidden="false" customHeight="false" outlineLevel="0" collapsed="false">
      <c r="A41" s="31" t="n">
        <v>8</v>
      </c>
      <c r="B41" s="31" t="s">
        <v>338</v>
      </c>
      <c r="C41" s="31" t="s">
        <v>158</v>
      </c>
      <c r="D41" s="32" t="s">
        <v>159</v>
      </c>
      <c r="E41" s="35" t="s">
        <v>123</v>
      </c>
      <c r="F41" s="32" t="s">
        <v>374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</row>
    <row r="42" customFormat="false" ht="46.25" hidden="false" customHeight="false" outlineLevel="0" collapsed="false">
      <c r="A42" s="31" t="n">
        <v>8</v>
      </c>
      <c r="B42" s="31" t="s">
        <v>338</v>
      </c>
      <c r="C42" s="31" t="s">
        <v>158</v>
      </c>
      <c r="D42" s="32" t="s">
        <v>159</v>
      </c>
      <c r="E42" s="36" t="s">
        <v>124</v>
      </c>
      <c r="F42" s="32" t="s">
        <v>375</v>
      </c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</row>
    <row r="43" customFormat="false" ht="46.25" hidden="false" customHeight="false" outlineLevel="0" collapsed="false">
      <c r="A43" s="31" t="n">
        <v>8</v>
      </c>
      <c r="B43" s="31" t="s">
        <v>338</v>
      </c>
      <c r="C43" s="31" t="s">
        <v>158</v>
      </c>
      <c r="D43" s="32" t="s">
        <v>159</v>
      </c>
      <c r="E43" s="37" t="s">
        <v>125</v>
      </c>
      <c r="F43" s="32" t="s">
        <v>376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</row>
    <row r="44" customFormat="false" ht="46.25" hidden="false" customHeight="false" outlineLevel="0" collapsed="false">
      <c r="A44" s="31" t="n">
        <v>8</v>
      </c>
      <c r="B44" s="31" t="s">
        <v>338</v>
      </c>
      <c r="C44" s="31" t="s">
        <v>158</v>
      </c>
      <c r="D44" s="32" t="s">
        <v>159</v>
      </c>
      <c r="E44" s="38" t="s">
        <v>126</v>
      </c>
      <c r="F44" s="32" t="s">
        <v>377</v>
      </c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</row>
    <row r="45" customFormat="false" ht="46.25" hidden="false" customHeight="false" outlineLevel="0" collapsed="false">
      <c r="A45" s="31" t="n">
        <v>8</v>
      </c>
      <c r="B45" s="31" t="s">
        <v>338</v>
      </c>
      <c r="C45" s="31" t="s">
        <v>158</v>
      </c>
      <c r="D45" s="32" t="s">
        <v>159</v>
      </c>
      <c r="E45" s="39" t="s">
        <v>127</v>
      </c>
      <c r="F45" s="32" t="s">
        <v>378</v>
      </c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</row>
    <row r="46" customFormat="false" ht="46.25" hidden="false" customHeight="false" outlineLevel="0" collapsed="false">
      <c r="A46" s="31" t="n">
        <v>9</v>
      </c>
      <c r="B46" s="31" t="s">
        <v>338</v>
      </c>
      <c r="C46" s="31" t="s">
        <v>162</v>
      </c>
      <c r="D46" s="32" t="s">
        <v>163</v>
      </c>
      <c r="E46" s="35" t="s">
        <v>123</v>
      </c>
      <c r="F46" s="32" t="s">
        <v>379</v>
      </c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</row>
    <row r="47" customFormat="false" ht="46.25" hidden="false" customHeight="false" outlineLevel="0" collapsed="false">
      <c r="A47" s="31" t="n">
        <v>9</v>
      </c>
      <c r="B47" s="31" t="s">
        <v>338</v>
      </c>
      <c r="C47" s="31" t="s">
        <v>162</v>
      </c>
      <c r="D47" s="32" t="s">
        <v>163</v>
      </c>
      <c r="E47" s="36" t="s">
        <v>124</v>
      </c>
      <c r="F47" s="32" t="s">
        <v>380</v>
      </c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</row>
    <row r="48" customFormat="false" ht="46.25" hidden="false" customHeight="false" outlineLevel="0" collapsed="false">
      <c r="A48" s="31" t="n">
        <v>9</v>
      </c>
      <c r="B48" s="31" t="s">
        <v>338</v>
      </c>
      <c r="C48" s="31" t="s">
        <v>162</v>
      </c>
      <c r="D48" s="32" t="s">
        <v>163</v>
      </c>
      <c r="E48" s="37" t="s">
        <v>125</v>
      </c>
      <c r="F48" s="32" t="s">
        <v>381</v>
      </c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</row>
    <row r="49" customFormat="false" ht="46.25" hidden="false" customHeight="false" outlineLevel="0" collapsed="false">
      <c r="A49" s="31" t="n">
        <v>9</v>
      </c>
      <c r="B49" s="31" t="s">
        <v>338</v>
      </c>
      <c r="C49" s="31" t="s">
        <v>162</v>
      </c>
      <c r="D49" s="32" t="s">
        <v>163</v>
      </c>
      <c r="E49" s="38" t="s">
        <v>126</v>
      </c>
      <c r="F49" s="32" t="s">
        <v>382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</row>
    <row r="50" customFormat="false" ht="46.25" hidden="false" customHeight="false" outlineLevel="0" collapsed="false">
      <c r="A50" s="31" t="n">
        <v>9</v>
      </c>
      <c r="B50" s="31" t="s">
        <v>338</v>
      </c>
      <c r="C50" s="31" t="s">
        <v>162</v>
      </c>
      <c r="D50" s="32" t="s">
        <v>163</v>
      </c>
      <c r="E50" s="39" t="s">
        <v>127</v>
      </c>
      <c r="F50" s="32" t="s">
        <v>383</v>
      </c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</row>
    <row r="51" customFormat="false" ht="46.25" hidden="false" customHeight="false" outlineLevel="0" collapsed="false">
      <c r="A51" s="31" t="n">
        <v>10</v>
      </c>
      <c r="B51" s="31" t="s">
        <v>338</v>
      </c>
      <c r="C51" s="31" t="s">
        <v>166</v>
      </c>
      <c r="D51" s="32" t="s">
        <v>167</v>
      </c>
      <c r="E51" s="35" t="s">
        <v>123</v>
      </c>
      <c r="F51" s="32" t="s">
        <v>384</v>
      </c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</row>
    <row r="52" customFormat="false" ht="46.25" hidden="false" customHeight="false" outlineLevel="0" collapsed="false">
      <c r="A52" s="31" t="n">
        <v>10</v>
      </c>
      <c r="B52" s="31" t="s">
        <v>338</v>
      </c>
      <c r="C52" s="31" t="s">
        <v>166</v>
      </c>
      <c r="D52" s="32" t="s">
        <v>167</v>
      </c>
      <c r="E52" s="36" t="s">
        <v>124</v>
      </c>
      <c r="F52" s="32" t="s">
        <v>385</v>
      </c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</row>
    <row r="53" customFormat="false" ht="46.25" hidden="false" customHeight="false" outlineLevel="0" collapsed="false">
      <c r="A53" s="31" t="n">
        <v>10</v>
      </c>
      <c r="B53" s="31" t="s">
        <v>338</v>
      </c>
      <c r="C53" s="31" t="s">
        <v>166</v>
      </c>
      <c r="D53" s="32" t="s">
        <v>167</v>
      </c>
      <c r="E53" s="37" t="s">
        <v>125</v>
      </c>
      <c r="F53" s="32" t="s">
        <v>386</v>
      </c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</row>
    <row r="54" customFormat="false" ht="46.25" hidden="false" customHeight="false" outlineLevel="0" collapsed="false">
      <c r="A54" s="31" t="n">
        <v>10</v>
      </c>
      <c r="B54" s="31" t="s">
        <v>338</v>
      </c>
      <c r="C54" s="31" t="s">
        <v>166</v>
      </c>
      <c r="D54" s="32" t="s">
        <v>167</v>
      </c>
      <c r="E54" s="38" t="s">
        <v>126</v>
      </c>
      <c r="F54" s="32" t="s">
        <v>387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</row>
    <row r="55" customFormat="false" ht="46.25" hidden="false" customHeight="false" outlineLevel="0" collapsed="false">
      <c r="A55" s="31" t="n">
        <v>10</v>
      </c>
      <c r="B55" s="31" t="s">
        <v>338</v>
      </c>
      <c r="C55" s="31" t="s">
        <v>166</v>
      </c>
      <c r="D55" s="32" t="s">
        <v>167</v>
      </c>
      <c r="E55" s="39" t="s">
        <v>127</v>
      </c>
      <c r="F55" s="32" t="s">
        <v>388</v>
      </c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</row>
    <row r="56" customFormat="false" ht="46.25" hidden="false" customHeight="false" outlineLevel="0" collapsed="false">
      <c r="A56" s="31" t="n">
        <v>11</v>
      </c>
      <c r="B56" s="31" t="s">
        <v>338</v>
      </c>
      <c r="C56" s="31" t="s">
        <v>169</v>
      </c>
      <c r="D56" s="32" t="s">
        <v>170</v>
      </c>
      <c r="E56" s="35" t="s">
        <v>123</v>
      </c>
      <c r="F56" s="32" t="s">
        <v>389</v>
      </c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</row>
    <row r="57" customFormat="false" ht="46.25" hidden="false" customHeight="false" outlineLevel="0" collapsed="false">
      <c r="A57" s="31" t="n">
        <v>11</v>
      </c>
      <c r="B57" s="31" t="s">
        <v>338</v>
      </c>
      <c r="C57" s="31" t="s">
        <v>169</v>
      </c>
      <c r="D57" s="32" t="s">
        <v>170</v>
      </c>
      <c r="E57" s="36" t="s">
        <v>124</v>
      </c>
      <c r="F57" s="32" t="s">
        <v>390</v>
      </c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</row>
    <row r="58" customFormat="false" ht="46.25" hidden="false" customHeight="false" outlineLevel="0" collapsed="false">
      <c r="A58" s="31" t="n">
        <v>11</v>
      </c>
      <c r="B58" s="31" t="s">
        <v>338</v>
      </c>
      <c r="C58" s="31" t="s">
        <v>169</v>
      </c>
      <c r="D58" s="32" t="s">
        <v>170</v>
      </c>
      <c r="E58" s="37" t="s">
        <v>125</v>
      </c>
      <c r="F58" s="32" t="s">
        <v>391</v>
      </c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</row>
    <row r="59" customFormat="false" ht="46.25" hidden="false" customHeight="false" outlineLevel="0" collapsed="false">
      <c r="A59" s="31" t="n">
        <v>11</v>
      </c>
      <c r="B59" s="31" t="s">
        <v>338</v>
      </c>
      <c r="C59" s="31" t="s">
        <v>169</v>
      </c>
      <c r="D59" s="32" t="s">
        <v>170</v>
      </c>
      <c r="E59" s="38" t="s">
        <v>126</v>
      </c>
      <c r="F59" s="32" t="s">
        <v>392</v>
      </c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</row>
    <row r="60" customFormat="false" ht="46.25" hidden="false" customHeight="false" outlineLevel="0" collapsed="false">
      <c r="A60" s="31" t="n">
        <v>11</v>
      </c>
      <c r="B60" s="31" t="s">
        <v>338</v>
      </c>
      <c r="C60" s="31" t="s">
        <v>169</v>
      </c>
      <c r="D60" s="32" t="s">
        <v>170</v>
      </c>
      <c r="E60" s="39" t="s">
        <v>127</v>
      </c>
      <c r="F60" s="32" t="s">
        <v>393</v>
      </c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</row>
    <row r="61" customFormat="false" ht="35.05" hidden="false" customHeight="false" outlineLevel="0" collapsed="false">
      <c r="A61" s="31" t="n">
        <v>12</v>
      </c>
      <c r="B61" s="31" t="s">
        <v>338</v>
      </c>
      <c r="C61" s="31" t="s">
        <v>172</v>
      </c>
      <c r="D61" s="32" t="s">
        <v>173</v>
      </c>
      <c r="E61" s="35" t="s">
        <v>123</v>
      </c>
      <c r="F61" s="32" t="s">
        <v>394</v>
      </c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</row>
    <row r="62" customFormat="false" ht="35.05" hidden="false" customHeight="false" outlineLevel="0" collapsed="false">
      <c r="A62" s="31" t="n">
        <v>12</v>
      </c>
      <c r="B62" s="31" t="s">
        <v>338</v>
      </c>
      <c r="C62" s="31" t="s">
        <v>172</v>
      </c>
      <c r="D62" s="32" t="s">
        <v>173</v>
      </c>
      <c r="E62" s="36" t="s">
        <v>124</v>
      </c>
      <c r="F62" s="32" t="s">
        <v>395</v>
      </c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</row>
    <row r="63" customFormat="false" ht="46.25" hidden="false" customHeight="false" outlineLevel="0" collapsed="false">
      <c r="A63" s="31" t="n">
        <v>12</v>
      </c>
      <c r="B63" s="31" t="s">
        <v>338</v>
      </c>
      <c r="C63" s="31" t="s">
        <v>172</v>
      </c>
      <c r="D63" s="32" t="s">
        <v>173</v>
      </c>
      <c r="E63" s="37" t="s">
        <v>125</v>
      </c>
      <c r="F63" s="32" t="s">
        <v>396</v>
      </c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</row>
    <row r="64" customFormat="false" ht="46.25" hidden="false" customHeight="false" outlineLevel="0" collapsed="false">
      <c r="A64" s="31" t="n">
        <v>12</v>
      </c>
      <c r="B64" s="31" t="s">
        <v>338</v>
      </c>
      <c r="C64" s="31" t="s">
        <v>172</v>
      </c>
      <c r="D64" s="32" t="s">
        <v>173</v>
      </c>
      <c r="E64" s="38" t="s">
        <v>126</v>
      </c>
      <c r="F64" s="32" t="s">
        <v>397</v>
      </c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</row>
    <row r="65" customFormat="false" ht="46.25" hidden="false" customHeight="false" outlineLevel="0" collapsed="false">
      <c r="A65" s="31" t="n">
        <v>12</v>
      </c>
      <c r="B65" s="31" t="s">
        <v>338</v>
      </c>
      <c r="C65" s="31" t="s">
        <v>172</v>
      </c>
      <c r="D65" s="32" t="s">
        <v>173</v>
      </c>
      <c r="E65" s="39" t="s">
        <v>127</v>
      </c>
      <c r="F65" s="32" t="s">
        <v>398</v>
      </c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</row>
    <row r="66" customFormat="false" ht="46.25" hidden="false" customHeight="false" outlineLevel="0" collapsed="false">
      <c r="A66" s="31" t="n">
        <v>13</v>
      </c>
      <c r="B66" s="31" t="s">
        <v>338</v>
      </c>
      <c r="C66" s="31" t="s">
        <v>176</v>
      </c>
      <c r="D66" s="32" t="s">
        <v>177</v>
      </c>
      <c r="E66" s="35" t="s">
        <v>123</v>
      </c>
      <c r="F66" s="32" t="s">
        <v>399</v>
      </c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</row>
    <row r="67" customFormat="false" ht="46.25" hidden="false" customHeight="false" outlineLevel="0" collapsed="false">
      <c r="A67" s="31" t="n">
        <v>13</v>
      </c>
      <c r="B67" s="31" t="s">
        <v>338</v>
      </c>
      <c r="C67" s="31" t="s">
        <v>176</v>
      </c>
      <c r="D67" s="32" t="s">
        <v>177</v>
      </c>
      <c r="E67" s="36" t="s">
        <v>124</v>
      </c>
      <c r="F67" s="32" t="s">
        <v>400</v>
      </c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</row>
    <row r="68" customFormat="false" ht="46.25" hidden="false" customHeight="false" outlineLevel="0" collapsed="false">
      <c r="A68" s="31" t="n">
        <v>13</v>
      </c>
      <c r="B68" s="31" t="s">
        <v>338</v>
      </c>
      <c r="C68" s="31" t="s">
        <v>176</v>
      </c>
      <c r="D68" s="32" t="s">
        <v>177</v>
      </c>
      <c r="E68" s="37" t="s">
        <v>125</v>
      </c>
      <c r="F68" s="32" t="s">
        <v>401</v>
      </c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</row>
    <row r="69" customFormat="false" ht="46.25" hidden="false" customHeight="false" outlineLevel="0" collapsed="false">
      <c r="A69" s="31" t="n">
        <v>13</v>
      </c>
      <c r="B69" s="31" t="s">
        <v>338</v>
      </c>
      <c r="C69" s="31" t="s">
        <v>176</v>
      </c>
      <c r="D69" s="32" t="s">
        <v>177</v>
      </c>
      <c r="E69" s="38" t="s">
        <v>126</v>
      </c>
      <c r="F69" s="32" t="s">
        <v>402</v>
      </c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</row>
    <row r="70" customFormat="false" ht="46.25" hidden="false" customHeight="false" outlineLevel="0" collapsed="false">
      <c r="A70" s="31" t="n">
        <v>13</v>
      </c>
      <c r="B70" s="31" t="s">
        <v>338</v>
      </c>
      <c r="C70" s="31" t="s">
        <v>176</v>
      </c>
      <c r="D70" s="32" t="s">
        <v>177</v>
      </c>
      <c r="E70" s="39" t="s">
        <v>127</v>
      </c>
      <c r="F70" s="32" t="s">
        <v>403</v>
      </c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</row>
    <row r="71" customFormat="false" ht="46.25" hidden="false" customHeight="false" outlineLevel="0" collapsed="false">
      <c r="A71" s="31" t="n">
        <v>14</v>
      </c>
      <c r="B71" s="31" t="s">
        <v>404</v>
      </c>
      <c r="C71" s="31" t="s">
        <v>181</v>
      </c>
      <c r="D71" s="32" t="s">
        <v>182</v>
      </c>
      <c r="E71" s="35" t="s">
        <v>123</v>
      </c>
      <c r="F71" s="32" t="s">
        <v>405</v>
      </c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</row>
    <row r="72" customFormat="false" ht="46.25" hidden="false" customHeight="false" outlineLevel="0" collapsed="false">
      <c r="A72" s="31" t="n">
        <v>14</v>
      </c>
      <c r="B72" s="31" t="s">
        <v>404</v>
      </c>
      <c r="C72" s="31" t="s">
        <v>181</v>
      </c>
      <c r="D72" s="32" t="s">
        <v>182</v>
      </c>
      <c r="E72" s="36" t="s">
        <v>124</v>
      </c>
      <c r="F72" s="32" t="s">
        <v>406</v>
      </c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</row>
    <row r="73" customFormat="false" ht="46.25" hidden="false" customHeight="false" outlineLevel="0" collapsed="false">
      <c r="A73" s="31" t="n">
        <v>14</v>
      </c>
      <c r="B73" s="31" t="s">
        <v>404</v>
      </c>
      <c r="C73" s="31" t="s">
        <v>181</v>
      </c>
      <c r="D73" s="32" t="s">
        <v>182</v>
      </c>
      <c r="E73" s="37" t="s">
        <v>125</v>
      </c>
      <c r="F73" s="32" t="s">
        <v>407</v>
      </c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</row>
    <row r="74" customFormat="false" ht="46.25" hidden="false" customHeight="false" outlineLevel="0" collapsed="false">
      <c r="A74" s="31" t="n">
        <v>14</v>
      </c>
      <c r="B74" s="31" t="s">
        <v>404</v>
      </c>
      <c r="C74" s="31" t="s">
        <v>181</v>
      </c>
      <c r="D74" s="32" t="s">
        <v>182</v>
      </c>
      <c r="E74" s="38" t="s">
        <v>126</v>
      </c>
      <c r="F74" s="32" t="s">
        <v>408</v>
      </c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</row>
    <row r="75" customFormat="false" ht="35.05" hidden="false" customHeight="false" outlineLevel="0" collapsed="false">
      <c r="A75" s="31" t="n">
        <v>14</v>
      </c>
      <c r="B75" s="31" t="s">
        <v>404</v>
      </c>
      <c r="C75" s="31" t="s">
        <v>181</v>
      </c>
      <c r="D75" s="32" t="s">
        <v>182</v>
      </c>
      <c r="E75" s="39" t="s">
        <v>127</v>
      </c>
      <c r="F75" s="32" t="s">
        <v>409</v>
      </c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</row>
    <row r="76" customFormat="false" ht="35.05" hidden="false" customHeight="false" outlineLevel="0" collapsed="false">
      <c r="A76" s="31" t="n">
        <v>15</v>
      </c>
      <c r="B76" s="31" t="s">
        <v>404</v>
      </c>
      <c r="C76" s="31" t="s">
        <v>185</v>
      </c>
      <c r="D76" s="32" t="s">
        <v>186</v>
      </c>
      <c r="E76" s="35" t="s">
        <v>123</v>
      </c>
      <c r="F76" s="32" t="s">
        <v>410</v>
      </c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</row>
    <row r="77" customFormat="false" ht="35.05" hidden="false" customHeight="false" outlineLevel="0" collapsed="false">
      <c r="A77" s="31" t="n">
        <v>15</v>
      </c>
      <c r="B77" s="31" t="s">
        <v>404</v>
      </c>
      <c r="C77" s="31" t="s">
        <v>185</v>
      </c>
      <c r="D77" s="32" t="s">
        <v>186</v>
      </c>
      <c r="E77" s="36" t="s">
        <v>124</v>
      </c>
      <c r="F77" s="32" t="s">
        <v>411</v>
      </c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</row>
    <row r="78" customFormat="false" ht="46.25" hidden="false" customHeight="false" outlineLevel="0" collapsed="false">
      <c r="A78" s="31" t="n">
        <v>15</v>
      </c>
      <c r="B78" s="31" t="s">
        <v>404</v>
      </c>
      <c r="C78" s="31" t="s">
        <v>185</v>
      </c>
      <c r="D78" s="32" t="s">
        <v>186</v>
      </c>
      <c r="E78" s="37" t="s">
        <v>125</v>
      </c>
      <c r="F78" s="32" t="s">
        <v>412</v>
      </c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</row>
    <row r="79" customFormat="false" ht="46.25" hidden="false" customHeight="false" outlineLevel="0" collapsed="false">
      <c r="A79" s="31" t="n">
        <v>15</v>
      </c>
      <c r="B79" s="31" t="s">
        <v>404</v>
      </c>
      <c r="C79" s="31" t="s">
        <v>185</v>
      </c>
      <c r="D79" s="32" t="s">
        <v>186</v>
      </c>
      <c r="E79" s="38" t="s">
        <v>126</v>
      </c>
      <c r="F79" s="32" t="s">
        <v>413</v>
      </c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</row>
    <row r="80" customFormat="false" ht="35.05" hidden="false" customHeight="false" outlineLevel="0" collapsed="false">
      <c r="A80" s="31" t="n">
        <v>15</v>
      </c>
      <c r="B80" s="31" t="s">
        <v>404</v>
      </c>
      <c r="C80" s="31" t="s">
        <v>185</v>
      </c>
      <c r="D80" s="32" t="s">
        <v>186</v>
      </c>
      <c r="E80" s="39" t="s">
        <v>127</v>
      </c>
      <c r="F80" s="32" t="s">
        <v>414</v>
      </c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</row>
    <row r="81" customFormat="false" ht="46.25" hidden="false" customHeight="false" outlineLevel="0" collapsed="false">
      <c r="A81" s="31" t="n">
        <v>16</v>
      </c>
      <c r="B81" s="31" t="s">
        <v>404</v>
      </c>
      <c r="C81" s="31" t="s">
        <v>188</v>
      </c>
      <c r="D81" s="32" t="s">
        <v>189</v>
      </c>
      <c r="E81" s="35" t="s">
        <v>123</v>
      </c>
      <c r="F81" s="32" t="s">
        <v>415</v>
      </c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</row>
    <row r="82" customFormat="false" ht="46.25" hidden="false" customHeight="false" outlineLevel="0" collapsed="false">
      <c r="A82" s="31" t="n">
        <v>16</v>
      </c>
      <c r="B82" s="31" t="s">
        <v>404</v>
      </c>
      <c r="C82" s="31" t="s">
        <v>188</v>
      </c>
      <c r="D82" s="32" t="s">
        <v>189</v>
      </c>
      <c r="E82" s="36" t="s">
        <v>124</v>
      </c>
      <c r="F82" s="32" t="s">
        <v>416</v>
      </c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</row>
    <row r="83" customFormat="false" ht="46.25" hidden="false" customHeight="false" outlineLevel="0" collapsed="false">
      <c r="A83" s="31" t="n">
        <v>16</v>
      </c>
      <c r="B83" s="31" t="s">
        <v>404</v>
      </c>
      <c r="C83" s="31" t="s">
        <v>188</v>
      </c>
      <c r="D83" s="32" t="s">
        <v>189</v>
      </c>
      <c r="E83" s="37" t="s">
        <v>125</v>
      </c>
      <c r="F83" s="32" t="s">
        <v>417</v>
      </c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</row>
    <row r="84" customFormat="false" ht="46.25" hidden="false" customHeight="false" outlineLevel="0" collapsed="false">
      <c r="A84" s="31" t="n">
        <v>16</v>
      </c>
      <c r="B84" s="31" t="s">
        <v>404</v>
      </c>
      <c r="C84" s="31" t="s">
        <v>188</v>
      </c>
      <c r="D84" s="32" t="s">
        <v>189</v>
      </c>
      <c r="E84" s="38" t="s">
        <v>126</v>
      </c>
      <c r="F84" s="32" t="s">
        <v>418</v>
      </c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</row>
    <row r="85" customFormat="false" ht="35.05" hidden="false" customHeight="false" outlineLevel="0" collapsed="false">
      <c r="A85" s="31" t="n">
        <v>16</v>
      </c>
      <c r="B85" s="31" t="s">
        <v>404</v>
      </c>
      <c r="C85" s="31" t="s">
        <v>188</v>
      </c>
      <c r="D85" s="32" t="s">
        <v>189</v>
      </c>
      <c r="E85" s="39" t="s">
        <v>127</v>
      </c>
      <c r="F85" s="32" t="s">
        <v>419</v>
      </c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</row>
    <row r="86" customFormat="false" ht="46.25" hidden="false" customHeight="false" outlineLevel="0" collapsed="false">
      <c r="A86" s="31" t="n">
        <v>17</v>
      </c>
      <c r="B86" s="31" t="s">
        <v>404</v>
      </c>
      <c r="C86" s="31" t="s">
        <v>191</v>
      </c>
      <c r="D86" s="32" t="s">
        <v>192</v>
      </c>
      <c r="E86" s="35" t="s">
        <v>123</v>
      </c>
      <c r="F86" s="32" t="s">
        <v>420</v>
      </c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</row>
    <row r="87" customFormat="false" ht="46.25" hidden="false" customHeight="false" outlineLevel="0" collapsed="false">
      <c r="A87" s="31" t="n">
        <v>17</v>
      </c>
      <c r="B87" s="31" t="s">
        <v>404</v>
      </c>
      <c r="C87" s="31" t="s">
        <v>191</v>
      </c>
      <c r="D87" s="32" t="s">
        <v>192</v>
      </c>
      <c r="E87" s="36" t="s">
        <v>124</v>
      </c>
      <c r="F87" s="32" t="s">
        <v>421</v>
      </c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</row>
    <row r="88" customFormat="false" ht="46.25" hidden="false" customHeight="false" outlineLevel="0" collapsed="false">
      <c r="A88" s="31" t="n">
        <v>17</v>
      </c>
      <c r="B88" s="31" t="s">
        <v>404</v>
      </c>
      <c r="C88" s="31" t="s">
        <v>191</v>
      </c>
      <c r="D88" s="32" t="s">
        <v>192</v>
      </c>
      <c r="E88" s="37" t="s">
        <v>125</v>
      </c>
      <c r="F88" s="32" t="s">
        <v>422</v>
      </c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</row>
    <row r="89" customFormat="false" ht="46.25" hidden="false" customHeight="false" outlineLevel="0" collapsed="false">
      <c r="A89" s="31" t="n">
        <v>17</v>
      </c>
      <c r="B89" s="31" t="s">
        <v>404</v>
      </c>
      <c r="C89" s="31" t="s">
        <v>191</v>
      </c>
      <c r="D89" s="32" t="s">
        <v>192</v>
      </c>
      <c r="E89" s="38" t="s">
        <v>126</v>
      </c>
      <c r="F89" s="32" t="s">
        <v>423</v>
      </c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</row>
    <row r="90" customFormat="false" ht="35.05" hidden="false" customHeight="false" outlineLevel="0" collapsed="false">
      <c r="A90" s="31" t="n">
        <v>17</v>
      </c>
      <c r="B90" s="31" t="s">
        <v>404</v>
      </c>
      <c r="C90" s="31" t="s">
        <v>191</v>
      </c>
      <c r="D90" s="32" t="s">
        <v>192</v>
      </c>
      <c r="E90" s="39" t="s">
        <v>127</v>
      </c>
      <c r="F90" s="32" t="s">
        <v>424</v>
      </c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</row>
    <row r="91" customFormat="false" ht="35.05" hidden="false" customHeight="false" outlineLevel="0" collapsed="false">
      <c r="A91" s="31" t="n">
        <v>18</v>
      </c>
      <c r="B91" s="31" t="s">
        <v>404</v>
      </c>
      <c r="C91" s="31" t="s">
        <v>195</v>
      </c>
      <c r="D91" s="32" t="s">
        <v>196</v>
      </c>
      <c r="E91" s="35" t="s">
        <v>123</v>
      </c>
      <c r="F91" s="32" t="s">
        <v>425</v>
      </c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</row>
    <row r="92" customFormat="false" ht="35.05" hidden="false" customHeight="false" outlineLevel="0" collapsed="false">
      <c r="A92" s="31" t="n">
        <v>18</v>
      </c>
      <c r="B92" s="31" t="s">
        <v>404</v>
      </c>
      <c r="C92" s="31" t="s">
        <v>195</v>
      </c>
      <c r="D92" s="32" t="s">
        <v>196</v>
      </c>
      <c r="E92" s="36" t="s">
        <v>124</v>
      </c>
      <c r="F92" s="32" t="s">
        <v>426</v>
      </c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</row>
    <row r="93" customFormat="false" ht="46.25" hidden="false" customHeight="false" outlineLevel="0" collapsed="false">
      <c r="A93" s="31" t="n">
        <v>18</v>
      </c>
      <c r="B93" s="31" t="s">
        <v>404</v>
      </c>
      <c r="C93" s="31" t="s">
        <v>195</v>
      </c>
      <c r="D93" s="32" t="s">
        <v>196</v>
      </c>
      <c r="E93" s="37" t="s">
        <v>125</v>
      </c>
      <c r="F93" s="32" t="s">
        <v>427</v>
      </c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</row>
    <row r="94" customFormat="false" ht="35.05" hidden="false" customHeight="false" outlineLevel="0" collapsed="false">
      <c r="A94" s="31" t="n">
        <v>18</v>
      </c>
      <c r="B94" s="31" t="s">
        <v>404</v>
      </c>
      <c r="C94" s="31" t="s">
        <v>195</v>
      </c>
      <c r="D94" s="32" t="s">
        <v>196</v>
      </c>
      <c r="E94" s="38" t="s">
        <v>126</v>
      </c>
      <c r="F94" s="32" t="s">
        <v>428</v>
      </c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</row>
    <row r="95" customFormat="false" ht="35.05" hidden="false" customHeight="false" outlineLevel="0" collapsed="false">
      <c r="A95" s="31" t="n">
        <v>18</v>
      </c>
      <c r="B95" s="31" t="s">
        <v>404</v>
      </c>
      <c r="C95" s="31" t="s">
        <v>195</v>
      </c>
      <c r="D95" s="32" t="s">
        <v>196</v>
      </c>
      <c r="E95" s="39" t="s">
        <v>127</v>
      </c>
      <c r="F95" s="32" t="s">
        <v>429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</row>
    <row r="96" customFormat="false" ht="46.25" hidden="false" customHeight="false" outlineLevel="0" collapsed="false">
      <c r="A96" s="31" t="n">
        <v>19</v>
      </c>
      <c r="B96" s="31" t="s">
        <v>404</v>
      </c>
      <c r="C96" s="31" t="s">
        <v>198</v>
      </c>
      <c r="D96" s="32" t="s">
        <v>199</v>
      </c>
      <c r="E96" s="35" t="s">
        <v>123</v>
      </c>
      <c r="F96" s="32" t="s">
        <v>430</v>
      </c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</row>
    <row r="97" customFormat="false" ht="46.25" hidden="false" customHeight="false" outlineLevel="0" collapsed="false">
      <c r="A97" s="31" t="n">
        <v>19</v>
      </c>
      <c r="B97" s="31" t="s">
        <v>404</v>
      </c>
      <c r="C97" s="31" t="s">
        <v>198</v>
      </c>
      <c r="D97" s="32" t="s">
        <v>199</v>
      </c>
      <c r="E97" s="36" t="s">
        <v>124</v>
      </c>
      <c r="F97" s="32" t="s">
        <v>431</v>
      </c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</row>
    <row r="98" customFormat="false" ht="46.25" hidden="false" customHeight="false" outlineLevel="0" collapsed="false">
      <c r="A98" s="31" t="n">
        <v>19</v>
      </c>
      <c r="B98" s="31" t="s">
        <v>404</v>
      </c>
      <c r="C98" s="31" t="s">
        <v>198</v>
      </c>
      <c r="D98" s="32" t="s">
        <v>199</v>
      </c>
      <c r="E98" s="37" t="s">
        <v>125</v>
      </c>
      <c r="F98" s="32" t="s">
        <v>432</v>
      </c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</row>
    <row r="99" customFormat="false" ht="46.25" hidden="false" customHeight="false" outlineLevel="0" collapsed="false">
      <c r="A99" s="31" t="n">
        <v>19</v>
      </c>
      <c r="B99" s="31" t="s">
        <v>404</v>
      </c>
      <c r="C99" s="31" t="s">
        <v>198</v>
      </c>
      <c r="D99" s="32" t="s">
        <v>199</v>
      </c>
      <c r="E99" s="38" t="s">
        <v>126</v>
      </c>
      <c r="F99" s="32" t="s">
        <v>433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</row>
    <row r="100" customFormat="false" ht="46.25" hidden="false" customHeight="false" outlineLevel="0" collapsed="false">
      <c r="A100" s="31" t="n">
        <v>19</v>
      </c>
      <c r="B100" s="31" t="s">
        <v>404</v>
      </c>
      <c r="C100" s="31" t="s">
        <v>198</v>
      </c>
      <c r="D100" s="32" t="s">
        <v>199</v>
      </c>
      <c r="E100" s="39" t="s">
        <v>127</v>
      </c>
      <c r="F100" s="32" t="s">
        <v>434</v>
      </c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</row>
    <row r="101" customFormat="false" ht="46.25" hidden="false" customHeight="false" outlineLevel="0" collapsed="false">
      <c r="A101" s="31" t="n">
        <v>20</v>
      </c>
      <c r="B101" s="31" t="s">
        <v>404</v>
      </c>
      <c r="C101" s="31" t="s">
        <v>201</v>
      </c>
      <c r="D101" s="32" t="s">
        <v>202</v>
      </c>
      <c r="E101" s="35" t="s">
        <v>123</v>
      </c>
      <c r="F101" s="32" t="s">
        <v>435</v>
      </c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</row>
    <row r="102" customFormat="false" ht="46.25" hidden="false" customHeight="false" outlineLevel="0" collapsed="false">
      <c r="A102" s="31" t="n">
        <v>20</v>
      </c>
      <c r="B102" s="31" t="s">
        <v>404</v>
      </c>
      <c r="C102" s="31" t="s">
        <v>201</v>
      </c>
      <c r="D102" s="32" t="s">
        <v>202</v>
      </c>
      <c r="E102" s="36" t="s">
        <v>124</v>
      </c>
      <c r="F102" s="32" t="s">
        <v>436</v>
      </c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</row>
    <row r="103" customFormat="false" ht="46.25" hidden="false" customHeight="false" outlineLevel="0" collapsed="false">
      <c r="A103" s="31" t="n">
        <v>20</v>
      </c>
      <c r="B103" s="31" t="s">
        <v>404</v>
      </c>
      <c r="C103" s="31" t="s">
        <v>201</v>
      </c>
      <c r="D103" s="32" t="s">
        <v>202</v>
      </c>
      <c r="E103" s="37" t="s">
        <v>125</v>
      </c>
      <c r="F103" s="32" t="s">
        <v>437</v>
      </c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</row>
    <row r="104" customFormat="false" ht="46.25" hidden="false" customHeight="false" outlineLevel="0" collapsed="false">
      <c r="A104" s="31" t="n">
        <v>20</v>
      </c>
      <c r="B104" s="31" t="s">
        <v>404</v>
      </c>
      <c r="C104" s="31" t="s">
        <v>201</v>
      </c>
      <c r="D104" s="32" t="s">
        <v>202</v>
      </c>
      <c r="E104" s="38" t="s">
        <v>126</v>
      </c>
      <c r="F104" s="32" t="s">
        <v>438</v>
      </c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</row>
    <row r="105" customFormat="false" ht="46.25" hidden="false" customHeight="false" outlineLevel="0" collapsed="false">
      <c r="A105" s="31" t="n">
        <v>20</v>
      </c>
      <c r="B105" s="31" t="s">
        <v>404</v>
      </c>
      <c r="C105" s="31" t="s">
        <v>201</v>
      </c>
      <c r="D105" s="32" t="s">
        <v>202</v>
      </c>
      <c r="E105" s="39" t="s">
        <v>127</v>
      </c>
      <c r="F105" s="32" t="s">
        <v>439</v>
      </c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</row>
    <row r="106" customFormat="false" ht="46.25" hidden="false" customHeight="false" outlineLevel="0" collapsed="false">
      <c r="A106" s="31" t="n">
        <v>21</v>
      </c>
      <c r="B106" s="31" t="s">
        <v>404</v>
      </c>
      <c r="C106" s="31" t="s">
        <v>204</v>
      </c>
      <c r="D106" s="32" t="s">
        <v>205</v>
      </c>
      <c r="E106" s="35" t="s">
        <v>123</v>
      </c>
      <c r="F106" s="32" t="s">
        <v>440</v>
      </c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</row>
    <row r="107" customFormat="false" ht="46.25" hidden="false" customHeight="false" outlineLevel="0" collapsed="false">
      <c r="A107" s="31" t="n">
        <v>21</v>
      </c>
      <c r="B107" s="31" t="s">
        <v>404</v>
      </c>
      <c r="C107" s="31" t="s">
        <v>204</v>
      </c>
      <c r="D107" s="32" t="s">
        <v>205</v>
      </c>
      <c r="E107" s="36" t="s">
        <v>124</v>
      </c>
      <c r="F107" s="32" t="s">
        <v>441</v>
      </c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</row>
    <row r="108" customFormat="false" ht="46.25" hidden="false" customHeight="false" outlineLevel="0" collapsed="false">
      <c r="A108" s="31" t="n">
        <v>21</v>
      </c>
      <c r="B108" s="31" t="s">
        <v>404</v>
      </c>
      <c r="C108" s="31" t="s">
        <v>204</v>
      </c>
      <c r="D108" s="32" t="s">
        <v>205</v>
      </c>
      <c r="E108" s="37" t="s">
        <v>125</v>
      </c>
      <c r="F108" s="32" t="s">
        <v>442</v>
      </c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</row>
    <row r="109" customFormat="false" ht="46.25" hidden="false" customHeight="false" outlineLevel="0" collapsed="false">
      <c r="A109" s="31" t="n">
        <v>21</v>
      </c>
      <c r="B109" s="31" t="s">
        <v>404</v>
      </c>
      <c r="C109" s="31" t="s">
        <v>204</v>
      </c>
      <c r="D109" s="32" t="s">
        <v>205</v>
      </c>
      <c r="E109" s="38" t="s">
        <v>126</v>
      </c>
      <c r="F109" s="32" t="s">
        <v>443</v>
      </c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</row>
    <row r="110" customFormat="false" ht="46.25" hidden="false" customHeight="false" outlineLevel="0" collapsed="false">
      <c r="A110" s="31" t="n">
        <v>21</v>
      </c>
      <c r="B110" s="31" t="s">
        <v>404</v>
      </c>
      <c r="C110" s="31" t="s">
        <v>204</v>
      </c>
      <c r="D110" s="32" t="s">
        <v>205</v>
      </c>
      <c r="E110" s="39" t="s">
        <v>127</v>
      </c>
      <c r="F110" s="32" t="s">
        <v>444</v>
      </c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</row>
    <row r="111" customFormat="false" ht="35.05" hidden="false" customHeight="false" outlineLevel="0" collapsed="false">
      <c r="A111" s="31" t="n">
        <v>22</v>
      </c>
      <c r="B111" s="31" t="s">
        <v>445</v>
      </c>
      <c r="C111" s="31" t="s">
        <v>208</v>
      </c>
      <c r="D111" s="32" t="s">
        <v>209</v>
      </c>
      <c r="E111" s="35" t="s">
        <v>123</v>
      </c>
      <c r="F111" s="32" t="s">
        <v>446</v>
      </c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</row>
    <row r="112" customFormat="false" ht="35.05" hidden="false" customHeight="false" outlineLevel="0" collapsed="false">
      <c r="A112" s="31" t="n">
        <v>22</v>
      </c>
      <c r="B112" s="31" t="s">
        <v>445</v>
      </c>
      <c r="C112" s="31" t="s">
        <v>208</v>
      </c>
      <c r="D112" s="32" t="s">
        <v>209</v>
      </c>
      <c r="E112" s="36" t="s">
        <v>124</v>
      </c>
      <c r="F112" s="32" t="s">
        <v>447</v>
      </c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</row>
    <row r="113" customFormat="false" ht="46.25" hidden="false" customHeight="false" outlineLevel="0" collapsed="false">
      <c r="A113" s="31" t="n">
        <v>22</v>
      </c>
      <c r="B113" s="31" t="s">
        <v>445</v>
      </c>
      <c r="C113" s="31" t="s">
        <v>208</v>
      </c>
      <c r="D113" s="32" t="s">
        <v>209</v>
      </c>
      <c r="E113" s="37" t="s">
        <v>125</v>
      </c>
      <c r="F113" s="32" t="s">
        <v>448</v>
      </c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</row>
    <row r="114" customFormat="false" ht="46.25" hidden="false" customHeight="false" outlineLevel="0" collapsed="false">
      <c r="A114" s="31" t="n">
        <v>22</v>
      </c>
      <c r="B114" s="31" t="s">
        <v>445</v>
      </c>
      <c r="C114" s="31" t="s">
        <v>208</v>
      </c>
      <c r="D114" s="32" t="s">
        <v>209</v>
      </c>
      <c r="E114" s="38" t="s">
        <v>126</v>
      </c>
      <c r="F114" s="32" t="s">
        <v>449</v>
      </c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</row>
    <row r="115" customFormat="false" ht="35.05" hidden="false" customHeight="false" outlineLevel="0" collapsed="false">
      <c r="A115" s="31" t="n">
        <v>22</v>
      </c>
      <c r="B115" s="31" t="s">
        <v>445</v>
      </c>
      <c r="C115" s="31" t="s">
        <v>208</v>
      </c>
      <c r="D115" s="32" t="s">
        <v>209</v>
      </c>
      <c r="E115" s="39" t="s">
        <v>127</v>
      </c>
      <c r="F115" s="32" t="s">
        <v>450</v>
      </c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</row>
    <row r="116" customFormat="false" ht="35.05" hidden="false" customHeight="false" outlineLevel="0" collapsed="false">
      <c r="A116" s="31" t="n">
        <v>23</v>
      </c>
      <c r="B116" s="31" t="s">
        <v>445</v>
      </c>
      <c r="C116" s="31" t="s">
        <v>211</v>
      </c>
      <c r="D116" s="32" t="s">
        <v>212</v>
      </c>
      <c r="E116" s="35" t="s">
        <v>123</v>
      </c>
      <c r="F116" s="32" t="s">
        <v>451</v>
      </c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</row>
    <row r="117" customFormat="false" ht="35.05" hidden="false" customHeight="false" outlineLevel="0" collapsed="false">
      <c r="A117" s="31" t="n">
        <v>23</v>
      </c>
      <c r="B117" s="31" t="s">
        <v>445</v>
      </c>
      <c r="C117" s="31" t="s">
        <v>211</v>
      </c>
      <c r="D117" s="32" t="s">
        <v>212</v>
      </c>
      <c r="E117" s="36" t="s">
        <v>124</v>
      </c>
      <c r="F117" s="32" t="s">
        <v>452</v>
      </c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</row>
    <row r="118" customFormat="false" ht="46.25" hidden="false" customHeight="false" outlineLevel="0" collapsed="false">
      <c r="A118" s="31" t="n">
        <v>23</v>
      </c>
      <c r="B118" s="31" t="s">
        <v>445</v>
      </c>
      <c r="C118" s="31" t="s">
        <v>211</v>
      </c>
      <c r="D118" s="32" t="s">
        <v>212</v>
      </c>
      <c r="E118" s="37" t="s">
        <v>125</v>
      </c>
      <c r="F118" s="32" t="s">
        <v>453</v>
      </c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</row>
    <row r="119" customFormat="false" ht="35.05" hidden="false" customHeight="false" outlineLevel="0" collapsed="false">
      <c r="A119" s="31" t="n">
        <v>23</v>
      </c>
      <c r="B119" s="31" t="s">
        <v>445</v>
      </c>
      <c r="C119" s="31" t="s">
        <v>211</v>
      </c>
      <c r="D119" s="32" t="s">
        <v>212</v>
      </c>
      <c r="E119" s="38" t="s">
        <v>126</v>
      </c>
      <c r="F119" s="32" t="s">
        <v>454</v>
      </c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</row>
    <row r="120" customFormat="false" ht="35.05" hidden="false" customHeight="false" outlineLevel="0" collapsed="false">
      <c r="A120" s="31" t="n">
        <v>23</v>
      </c>
      <c r="B120" s="31" t="s">
        <v>445</v>
      </c>
      <c r="C120" s="31" t="s">
        <v>211</v>
      </c>
      <c r="D120" s="32" t="s">
        <v>212</v>
      </c>
      <c r="E120" s="39" t="s">
        <v>127</v>
      </c>
      <c r="F120" s="32" t="s">
        <v>455</v>
      </c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</row>
    <row r="121" customFormat="false" ht="35.05" hidden="false" customHeight="false" outlineLevel="0" collapsed="false">
      <c r="A121" s="31" t="n">
        <v>24</v>
      </c>
      <c r="B121" s="31" t="s">
        <v>445</v>
      </c>
      <c r="C121" s="31" t="s">
        <v>214</v>
      </c>
      <c r="D121" s="32" t="s">
        <v>215</v>
      </c>
      <c r="E121" s="35" t="s">
        <v>123</v>
      </c>
      <c r="F121" s="32" t="s">
        <v>456</v>
      </c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</row>
    <row r="122" customFormat="false" ht="35.05" hidden="false" customHeight="false" outlineLevel="0" collapsed="false">
      <c r="A122" s="31" t="n">
        <v>24</v>
      </c>
      <c r="B122" s="31" t="s">
        <v>445</v>
      </c>
      <c r="C122" s="31" t="s">
        <v>214</v>
      </c>
      <c r="D122" s="32" t="s">
        <v>215</v>
      </c>
      <c r="E122" s="36" t="s">
        <v>124</v>
      </c>
      <c r="F122" s="32" t="s">
        <v>457</v>
      </c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</row>
    <row r="123" customFormat="false" ht="46.25" hidden="false" customHeight="false" outlineLevel="0" collapsed="false">
      <c r="A123" s="31" t="n">
        <v>24</v>
      </c>
      <c r="B123" s="31" t="s">
        <v>445</v>
      </c>
      <c r="C123" s="31" t="s">
        <v>214</v>
      </c>
      <c r="D123" s="32" t="s">
        <v>215</v>
      </c>
      <c r="E123" s="37" t="s">
        <v>125</v>
      </c>
      <c r="F123" s="32" t="s">
        <v>458</v>
      </c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</row>
    <row r="124" customFormat="false" ht="46.25" hidden="false" customHeight="false" outlineLevel="0" collapsed="false">
      <c r="A124" s="31" t="n">
        <v>24</v>
      </c>
      <c r="B124" s="31" t="s">
        <v>445</v>
      </c>
      <c r="C124" s="31" t="s">
        <v>214</v>
      </c>
      <c r="D124" s="32" t="s">
        <v>215</v>
      </c>
      <c r="E124" s="38" t="s">
        <v>126</v>
      </c>
      <c r="F124" s="32" t="s">
        <v>459</v>
      </c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</row>
    <row r="125" customFormat="false" ht="35.05" hidden="false" customHeight="false" outlineLevel="0" collapsed="false">
      <c r="A125" s="31" t="n">
        <v>24</v>
      </c>
      <c r="B125" s="31" t="s">
        <v>445</v>
      </c>
      <c r="C125" s="31" t="s">
        <v>214</v>
      </c>
      <c r="D125" s="32" t="s">
        <v>215</v>
      </c>
      <c r="E125" s="39" t="s">
        <v>127</v>
      </c>
      <c r="F125" s="32" t="s">
        <v>460</v>
      </c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</row>
    <row r="126" customFormat="false" ht="46.25" hidden="false" customHeight="false" outlineLevel="0" collapsed="false">
      <c r="A126" s="31" t="n">
        <v>25</v>
      </c>
      <c r="B126" s="31" t="s">
        <v>445</v>
      </c>
      <c r="C126" s="31" t="s">
        <v>217</v>
      </c>
      <c r="D126" s="32" t="s">
        <v>218</v>
      </c>
      <c r="E126" s="35" t="s">
        <v>123</v>
      </c>
      <c r="F126" s="32" t="s">
        <v>461</v>
      </c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</row>
    <row r="127" customFormat="false" ht="35.05" hidden="false" customHeight="false" outlineLevel="0" collapsed="false">
      <c r="A127" s="31" t="n">
        <v>25</v>
      </c>
      <c r="B127" s="31" t="s">
        <v>445</v>
      </c>
      <c r="C127" s="31" t="s">
        <v>217</v>
      </c>
      <c r="D127" s="32" t="s">
        <v>218</v>
      </c>
      <c r="E127" s="36" t="s">
        <v>124</v>
      </c>
      <c r="F127" s="32" t="s">
        <v>462</v>
      </c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</row>
    <row r="128" customFormat="false" ht="46.25" hidden="false" customHeight="false" outlineLevel="0" collapsed="false">
      <c r="A128" s="31" t="n">
        <v>25</v>
      </c>
      <c r="B128" s="31" t="s">
        <v>445</v>
      </c>
      <c r="C128" s="31" t="s">
        <v>217</v>
      </c>
      <c r="D128" s="32" t="s">
        <v>218</v>
      </c>
      <c r="E128" s="37" t="s">
        <v>125</v>
      </c>
      <c r="F128" s="32" t="s">
        <v>463</v>
      </c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</row>
    <row r="129" customFormat="false" ht="46.25" hidden="false" customHeight="false" outlineLevel="0" collapsed="false">
      <c r="A129" s="31" t="n">
        <v>25</v>
      </c>
      <c r="B129" s="31" t="s">
        <v>445</v>
      </c>
      <c r="C129" s="31" t="s">
        <v>217</v>
      </c>
      <c r="D129" s="32" t="s">
        <v>218</v>
      </c>
      <c r="E129" s="38" t="s">
        <v>126</v>
      </c>
      <c r="F129" s="32" t="s">
        <v>464</v>
      </c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</row>
    <row r="130" customFormat="false" ht="35.05" hidden="false" customHeight="false" outlineLevel="0" collapsed="false">
      <c r="A130" s="31" t="n">
        <v>25</v>
      </c>
      <c r="B130" s="31" t="s">
        <v>445</v>
      </c>
      <c r="C130" s="31" t="s">
        <v>217</v>
      </c>
      <c r="D130" s="32" t="s">
        <v>218</v>
      </c>
      <c r="E130" s="39" t="s">
        <v>127</v>
      </c>
      <c r="F130" s="32" t="s">
        <v>465</v>
      </c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</row>
    <row r="131" customFormat="false" ht="46.25" hidden="false" customHeight="false" outlineLevel="0" collapsed="false">
      <c r="A131" s="31" t="n">
        <v>26</v>
      </c>
      <c r="B131" s="31" t="s">
        <v>445</v>
      </c>
      <c r="C131" s="31" t="s">
        <v>221</v>
      </c>
      <c r="D131" s="32" t="s">
        <v>222</v>
      </c>
      <c r="E131" s="35" t="s">
        <v>123</v>
      </c>
      <c r="F131" s="32" t="s">
        <v>466</v>
      </c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</row>
    <row r="132" customFormat="false" ht="46.25" hidden="false" customHeight="false" outlineLevel="0" collapsed="false">
      <c r="A132" s="31" t="n">
        <v>26</v>
      </c>
      <c r="B132" s="31" t="s">
        <v>445</v>
      </c>
      <c r="C132" s="31" t="s">
        <v>221</v>
      </c>
      <c r="D132" s="32" t="s">
        <v>222</v>
      </c>
      <c r="E132" s="36" t="s">
        <v>124</v>
      </c>
      <c r="F132" s="32" t="s">
        <v>467</v>
      </c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</row>
    <row r="133" customFormat="false" ht="46.25" hidden="false" customHeight="false" outlineLevel="0" collapsed="false">
      <c r="A133" s="31" t="n">
        <v>26</v>
      </c>
      <c r="B133" s="31" t="s">
        <v>445</v>
      </c>
      <c r="C133" s="31" t="s">
        <v>221</v>
      </c>
      <c r="D133" s="32" t="s">
        <v>222</v>
      </c>
      <c r="E133" s="37" t="s">
        <v>125</v>
      </c>
      <c r="F133" s="32" t="s">
        <v>468</v>
      </c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</row>
    <row r="134" customFormat="false" ht="46.25" hidden="false" customHeight="false" outlineLevel="0" collapsed="false">
      <c r="A134" s="31" t="n">
        <v>26</v>
      </c>
      <c r="B134" s="31" t="s">
        <v>445</v>
      </c>
      <c r="C134" s="31" t="s">
        <v>221</v>
      </c>
      <c r="D134" s="32" t="s">
        <v>222</v>
      </c>
      <c r="E134" s="38" t="s">
        <v>126</v>
      </c>
      <c r="F134" s="32" t="s">
        <v>469</v>
      </c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</row>
    <row r="135" customFormat="false" ht="46.25" hidden="false" customHeight="false" outlineLevel="0" collapsed="false">
      <c r="A135" s="31" t="n">
        <v>26</v>
      </c>
      <c r="B135" s="31" t="s">
        <v>445</v>
      </c>
      <c r="C135" s="31" t="s">
        <v>221</v>
      </c>
      <c r="D135" s="32" t="s">
        <v>222</v>
      </c>
      <c r="E135" s="39" t="s">
        <v>127</v>
      </c>
      <c r="F135" s="32" t="s">
        <v>470</v>
      </c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</row>
    <row r="136" customFormat="false" ht="46.25" hidden="false" customHeight="false" outlineLevel="0" collapsed="false">
      <c r="A136" s="31" t="n">
        <v>27</v>
      </c>
      <c r="B136" s="31" t="s">
        <v>445</v>
      </c>
      <c r="C136" s="31" t="s">
        <v>225</v>
      </c>
      <c r="D136" s="32" t="s">
        <v>226</v>
      </c>
      <c r="E136" s="35" t="s">
        <v>123</v>
      </c>
      <c r="F136" s="32" t="s">
        <v>471</v>
      </c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</row>
    <row r="137" customFormat="false" ht="46.25" hidden="false" customHeight="false" outlineLevel="0" collapsed="false">
      <c r="A137" s="31" t="n">
        <v>27</v>
      </c>
      <c r="B137" s="31" t="s">
        <v>445</v>
      </c>
      <c r="C137" s="31" t="s">
        <v>225</v>
      </c>
      <c r="D137" s="32" t="s">
        <v>226</v>
      </c>
      <c r="E137" s="36" t="s">
        <v>124</v>
      </c>
      <c r="F137" s="32" t="s">
        <v>472</v>
      </c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</row>
    <row r="138" customFormat="false" ht="46.25" hidden="false" customHeight="false" outlineLevel="0" collapsed="false">
      <c r="A138" s="31" t="n">
        <v>27</v>
      </c>
      <c r="B138" s="31" t="s">
        <v>445</v>
      </c>
      <c r="C138" s="31" t="s">
        <v>225</v>
      </c>
      <c r="D138" s="32" t="s">
        <v>226</v>
      </c>
      <c r="E138" s="37" t="s">
        <v>125</v>
      </c>
      <c r="F138" s="32" t="s">
        <v>473</v>
      </c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</row>
    <row r="139" customFormat="false" ht="46.25" hidden="false" customHeight="false" outlineLevel="0" collapsed="false">
      <c r="A139" s="31" t="n">
        <v>27</v>
      </c>
      <c r="B139" s="31" t="s">
        <v>445</v>
      </c>
      <c r="C139" s="31" t="s">
        <v>225</v>
      </c>
      <c r="D139" s="32" t="s">
        <v>226</v>
      </c>
      <c r="E139" s="38" t="s">
        <v>126</v>
      </c>
      <c r="F139" s="32" t="s">
        <v>474</v>
      </c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</row>
    <row r="140" customFormat="false" ht="46.25" hidden="false" customHeight="false" outlineLevel="0" collapsed="false">
      <c r="A140" s="31" t="n">
        <v>27</v>
      </c>
      <c r="B140" s="31" t="s">
        <v>445</v>
      </c>
      <c r="C140" s="31" t="s">
        <v>225</v>
      </c>
      <c r="D140" s="32" t="s">
        <v>226</v>
      </c>
      <c r="E140" s="39" t="s">
        <v>127</v>
      </c>
      <c r="F140" s="32" t="s">
        <v>475</v>
      </c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</row>
    <row r="141" customFormat="false" ht="46.25" hidden="false" customHeight="false" outlineLevel="0" collapsed="false">
      <c r="A141" s="31" t="n">
        <v>28</v>
      </c>
      <c r="B141" s="31" t="s">
        <v>445</v>
      </c>
      <c r="C141" s="31" t="s">
        <v>229</v>
      </c>
      <c r="D141" s="32" t="s">
        <v>230</v>
      </c>
      <c r="E141" s="35" t="s">
        <v>123</v>
      </c>
      <c r="F141" s="32" t="s">
        <v>476</v>
      </c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</row>
    <row r="142" customFormat="false" ht="46.25" hidden="false" customHeight="false" outlineLevel="0" collapsed="false">
      <c r="A142" s="31" t="n">
        <v>28</v>
      </c>
      <c r="B142" s="31" t="s">
        <v>445</v>
      </c>
      <c r="C142" s="31" t="s">
        <v>229</v>
      </c>
      <c r="D142" s="32" t="s">
        <v>230</v>
      </c>
      <c r="E142" s="36" t="s">
        <v>124</v>
      </c>
      <c r="F142" s="32" t="s">
        <v>477</v>
      </c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</row>
    <row r="143" customFormat="false" ht="46.25" hidden="false" customHeight="false" outlineLevel="0" collapsed="false">
      <c r="A143" s="31" t="n">
        <v>28</v>
      </c>
      <c r="B143" s="31" t="s">
        <v>445</v>
      </c>
      <c r="C143" s="31" t="s">
        <v>229</v>
      </c>
      <c r="D143" s="32" t="s">
        <v>230</v>
      </c>
      <c r="E143" s="37" t="s">
        <v>125</v>
      </c>
      <c r="F143" s="32" t="s">
        <v>478</v>
      </c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</row>
    <row r="144" customFormat="false" ht="46.25" hidden="false" customHeight="false" outlineLevel="0" collapsed="false">
      <c r="A144" s="31" t="n">
        <v>28</v>
      </c>
      <c r="B144" s="31" t="s">
        <v>445</v>
      </c>
      <c r="C144" s="31" t="s">
        <v>229</v>
      </c>
      <c r="D144" s="32" t="s">
        <v>230</v>
      </c>
      <c r="E144" s="38" t="s">
        <v>126</v>
      </c>
      <c r="F144" s="32" t="s">
        <v>479</v>
      </c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</row>
    <row r="145" customFormat="false" ht="46.25" hidden="false" customHeight="false" outlineLevel="0" collapsed="false">
      <c r="A145" s="31" t="n">
        <v>28</v>
      </c>
      <c r="B145" s="31" t="s">
        <v>445</v>
      </c>
      <c r="C145" s="31" t="s">
        <v>229</v>
      </c>
      <c r="D145" s="32" t="s">
        <v>230</v>
      </c>
      <c r="E145" s="39" t="s">
        <v>127</v>
      </c>
      <c r="F145" s="32" t="s">
        <v>480</v>
      </c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</row>
    <row r="146" customFormat="false" ht="46.25" hidden="false" customHeight="false" outlineLevel="0" collapsed="false">
      <c r="A146" s="31" t="n">
        <v>29</v>
      </c>
      <c r="B146" s="31" t="s">
        <v>445</v>
      </c>
      <c r="C146" s="31" t="s">
        <v>233</v>
      </c>
      <c r="D146" s="32" t="s">
        <v>234</v>
      </c>
      <c r="E146" s="35" t="s">
        <v>123</v>
      </c>
      <c r="F146" s="32" t="s">
        <v>481</v>
      </c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</row>
    <row r="147" customFormat="false" ht="46.25" hidden="false" customHeight="false" outlineLevel="0" collapsed="false">
      <c r="A147" s="31" t="n">
        <v>29</v>
      </c>
      <c r="B147" s="31" t="s">
        <v>445</v>
      </c>
      <c r="C147" s="31" t="s">
        <v>233</v>
      </c>
      <c r="D147" s="32" t="s">
        <v>234</v>
      </c>
      <c r="E147" s="36" t="s">
        <v>124</v>
      </c>
      <c r="F147" s="32" t="s">
        <v>482</v>
      </c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</row>
    <row r="148" customFormat="false" ht="46.25" hidden="false" customHeight="false" outlineLevel="0" collapsed="false">
      <c r="A148" s="31" t="n">
        <v>29</v>
      </c>
      <c r="B148" s="31" t="s">
        <v>445</v>
      </c>
      <c r="C148" s="31" t="s">
        <v>233</v>
      </c>
      <c r="D148" s="32" t="s">
        <v>234</v>
      </c>
      <c r="E148" s="37" t="s">
        <v>125</v>
      </c>
      <c r="F148" s="32" t="s">
        <v>483</v>
      </c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</row>
    <row r="149" customFormat="false" ht="46.25" hidden="false" customHeight="false" outlineLevel="0" collapsed="false">
      <c r="A149" s="31" t="n">
        <v>29</v>
      </c>
      <c r="B149" s="31" t="s">
        <v>445</v>
      </c>
      <c r="C149" s="31" t="s">
        <v>233</v>
      </c>
      <c r="D149" s="32" t="s">
        <v>234</v>
      </c>
      <c r="E149" s="38" t="s">
        <v>126</v>
      </c>
      <c r="F149" s="32" t="s">
        <v>484</v>
      </c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</row>
    <row r="150" customFormat="false" ht="46.25" hidden="false" customHeight="false" outlineLevel="0" collapsed="false">
      <c r="A150" s="31" t="n">
        <v>29</v>
      </c>
      <c r="B150" s="31" t="s">
        <v>445</v>
      </c>
      <c r="C150" s="31" t="s">
        <v>233</v>
      </c>
      <c r="D150" s="32" t="s">
        <v>234</v>
      </c>
      <c r="E150" s="39" t="s">
        <v>127</v>
      </c>
      <c r="F150" s="32" t="s">
        <v>485</v>
      </c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</row>
    <row r="151" customFormat="false" ht="46.25" hidden="false" customHeight="false" outlineLevel="0" collapsed="false">
      <c r="A151" s="31" t="n">
        <v>30</v>
      </c>
      <c r="B151" s="31" t="s">
        <v>486</v>
      </c>
      <c r="C151" s="31" t="s">
        <v>238</v>
      </c>
      <c r="D151" s="32" t="s">
        <v>239</v>
      </c>
      <c r="E151" s="35" t="s">
        <v>123</v>
      </c>
      <c r="F151" s="32" t="s">
        <v>487</v>
      </c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</row>
    <row r="152" customFormat="false" ht="46.25" hidden="false" customHeight="false" outlineLevel="0" collapsed="false">
      <c r="A152" s="31" t="n">
        <v>30</v>
      </c>
      <c r="B152" s="31" t="s">
        <v>486</v>
      </c>
      <c r="C152" s="31" t="s">
        <v>238</v>
      </c>
      <c r="D152" s="32" t="s">
        <v>239</v>
      </c>
      <c r="E152" s="36" t="s">
        <v>124</v>
      </c>
      <c r="F152" s="32" t="s">
        <v>488</v>
      </c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</row>
    <row r="153" customFormat="false" ht="46.25" hidden="false" customHeight="false" outlineLevel="0" collapsed="false">
      <c r="A153" s="31" t="n">
        <v>30</v>
      </c>
      <c r="B153" s="31" t="s">
        <v>486</v>
      </c>
      <c r="C153" s="31" t="s">
        <v>238</v>
      </c>
      <c r="D153" s="32" t="s">
        <v>239</v>
      </c>
      <c r="E153" s="37" t="s">
        <v>125</v>
      </c>
      <c r="F153" s="32" t="s">
        <v>489</v>
      </c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</row>
    <row r="154" customFormat="false" ht="46.25" hidden="false" customHeight="false" outlineLevel="0" collapsed="false">
      <c r="A154" s="31" t="n">
        <v>30</v>
      </c>
      <c r="B154" s="31" t="s">
        <v>486</v>
      </c>
      <c r="C154" s="31" t="s">
        <v>238</v>
      </c>
      <c r="D154" s="32" t="s">
        <v>239</v>
      </c>
      <c r="E154" s="38" t="s">
        <v>126</v>
      </c>
      <c r="F154" s="32" t="s">
        <v>490</v>
      </c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</row>
    <row r="155" customFormat="false" ht="46.25" hidden="false" customHeight="false" outlineLevel="0" collapsed="false">
      <c r="A155" s="31" t="n">
        <v>30</v>
      </c>
      <c r="B155" s="31" t="s">
        <v>486</v>
      </c>
      <c r="C155" s="31" t="s">
        <v>238</v>
      </c>
      <c r="D155" s="32" t="s">
        <v>239</v>
      </c>
      <c r="E155" s="39" t="s">
        <v>127</v>
      </c>
      <c r="F155" s="32" t="s">
        <v>491</v>
      </c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</row>
    <row r="156" customFormat="false" ht="46.25" hidden="false" customHeight="false" outlineLevel="0" collapsed="false">
      <c r="A156" s="31" t="n">
        <v>31</v>
      </c>
      <c r="B156" s="31" t="s">
        <v>486</v>
      </c>
      <c r="C156" s="31" t="s">
        <v>242</v>
      </c>
      <c r="D156" s="32" t="s">
        <v>243</v>
      </c>
      <c r="E156" s="35" t="s">
        <v>123</v>
      </c>
      <c r="F156" s="32" t="s">
        <v>492</v>
      </c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</row>
    <row r="157" customFormat="false" ht="46.25" hidden="false" customHeight="false" outlineLevel="0" collapsed="false">
      <c r="A157" s="31" t="n">
        <v>31</v>
      </c>
      <c r="B157" s="31" t="s">
        <v>486</v>
      </c>
      <c r="C157" s="31" t="s">
        <v>242</v>
      </c>
      <c r="D157" s="32" t="s">
        <v>243</v>
      </c>
      <c r="E157" s="36" t="s">
        <v>124</v>
      </c>
      <c r="F157" s="32" t="s">
        <v>493</v>
      </c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</row>
    <row r="158" customFormat="false" ht="46.25" hidden="false" customHeight="false" outlineLevel="0" collapsed="false">
      <c r="A158" s="31" t="n">
        <v>31</v>
      </c>
      <c r="B158" s="31" t="s">
        <v>486</v>
      </c>
      <c r="C158" s="31" t="s">
        <v>242</v>
      </c>
      <c r="D158" s="32" t="s">
        <v>243</v>
      </c>
      <c r="E158" s="37" t="s">
        <v>125</v>
      </c>
      <c r="F158" s="32" t="s">
        <v>494</v>
      </c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</row>
    <row r="159" customFormat="false" ht="46.25" hidden="false" customHeight="false" outlineLevel="0" collapsed="false">
      <c r="A159" s="31" t="n">
        <v>31</v>
      </c>
      <c r="B159" s="31" t="s">
        <v>486</v>
      </c>
      <c r="C159" s="31" t="s">
        <v>242</v>
      </c>
      <c r="D159" s="32" t="s">
        <v>243</v>
      </c>
      <c r="E159" s="38" t="s">
        <v>126</v>
      </c>
      <c r="F159" s="32" t="s">
        <v>495</v>
      </c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</row>
    <row r="160" customFormat="false" ht="46.25" hidden="false" customHeight="false" outlineLevel="0" collapsed="false">
      <c r="A160" s="31" t="n">
        <v>31</v>
      </c>
      <c r="B160" s="31" t="s">
        <v>486</v>
      </c>
      <c r="C160" s="31" t="s">
        <v>242</v>
      </c>
      <c r="D160" s="32" t="s">
        <v>243</v>
      </c>
      <c r="E160" s="39" t="s">
        <v>127</v>
      </c>
      <c r="F160" s="32" t="s">
        <v>496</v>
      </c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</row>
    <row r="161" customFormat="false" ht="46.25" hidden="false" customHeight="false" outlineLevel="0" collapsed="false">
      <c r="A161" s="31" t="n">
        <v>32</v>
      </c>
      <c r="B161" s="31" t="s">
        <v>486</v>
      </c>
      <c r="C161" s="31" t="s">
        <v>246</v>
      </c>
      <c r="D161" s="32" t="s">
        <v>247</v>
      </c>
      <c r="E161" s="35" t="s">
        <v>123</v>
      </c>
      <c r="F161" s="32" t="s">
        <v>497</v>
      </c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</row>
    <row r="162" customFormat="false" ht="46.25" hidden="false" customHeight="false" outlineLevel="0" collapsed="false">
      <c r="A162" s="31" t="n">
        <v>32</v>
      </c>
      <c r="B162" s="31" t="s">
        <v>486</v>
      </c>
      <c r="C162" s="31" t="s">
        <v>246</v>
      </c>
      <c r="D162" s="32" t="s">
        <v>247</v>
      </c>
      <c r="E162" s="36" t="s">
        <v>124</v>
      </c>
      <c r="F162" s="32" t="s">
        <v>498</v>
      </c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</row>
    <row r="163" customFormat="false" ht="46.25" hidden="false" customHeight="false" outlineLevel="0" collapsed="false">
      <c r="A163" s="31" t="n">
        <v>32</v>
      </c>
      <c r="B163" s="31" t="s">
        <v>486</v>
      </c>
      <c r="C163" s="31" t="s">
        <v>246</v>
      </c>
      <c r="D163" s="32" t="s">
        <v>247</v>
      </c>
      <c r="E163" s="37" t="s">
        <v>125</v>
      </c>
      <c r="F163" s="32" t="s">
        <v>499</v>
      </c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</row>
    <row r="164" customFormat="false" ht="46.25" hidden="false" customHeight="false" outlineLevel="0" collapsed="false">
      <c r="A164" s="31" t="n">
        <v>32</v>
      </c>
      <c r="B164" s="31" t="s">
        <v>486</v>
      </c>
      <c r="C164" s="31" t="s">
        <v>246</v>
      </c>
      <c r="D164" s="32" t="s">
        <v>247</v>
      </c>
      <c r="E164" s="38" t="s">
        <v>126</v>
      </c>
      <c r="F164" s="32" t="s">
        <v>500</v>
      </c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</row>
    <row r="165" customFormat="false" ht="46.25" hidden="false" customHeight="false" outlineLevel="0" collapsed="false">
      <c r="A165" s="31" t="n">
        <v>32</v>
      </c>
      <c r="B165" s="31" t="s">
        <v>486</v>
      </c>
      <c r="C165" s="31" t="s">
        <v>246</v>
      </c>
      <c r="D165" s="32" t="s">
        <v>247</v>
      </c>
      <c r="E165" s="39" t="s">
        <v>127</v>
      </c>
      <c r="F165" s="32" t="s">
        <v>501</v>
      </c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</row>
    <row r="166" customFormat="false" ht="46.25" hidden="false" customHeight="false" outlineLevel="0" collapsed="false">
      <c r="A166" s="31" t="n">
        <v>33</v>
      </c>
      <c r="B166" s="31" t="s">
        <v>486</v>
      </c>
      <c r="C166" s="31" t="s">
        <v>250</v>
      </c>
      <c r="D166" s="32" t="s">
        <v>251</v>
      </c>
      <c r="E166" s="35" t="s">
        <v>123</v>
      </c>
      <c r="F166" s="32" t="s">
        <v>502</v>
      </c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</row>
    <row r="167" customFormat="false" ht="46.25" hidden="false" customHeight="false" outlineLevel="0" collapsed="false">
      <c r="A167" s="31" t="n">
        <v>33</v>
      </c>
      <c r="B167" s="31" t="s">
        <v>486</v>
      </c>
      <c r="C167" s="31" t="s">
        <v>250</v>
      </c>
      <c r="D167" s="32" t="s">
        <v>251</v>
      </c>
      <c r="E167" s="36" t="s">
        <v>124</v>
      </c>
      <c r="F167" s="32" t="s">
        <v>503</v>
      </c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</row>
    <row r="168" customFormat="false" ht="46.25" hidden="false" customHeight="false" outlineLevel="0" collapsed="false">
      <c r="A168" s="31" t="n">
        <v>33</v>
      </c>
      <c r="B168" s="31" t="s">
        <v>486</v>
      </c>
      <c r="C168" s="31" t="s">
        <v>250</v>
      </c>
      <c r="D168" s="32" t="s">
        <v>251</v>
      </c>
      <c r="E168" s="37" t="s">
        <v>125</v>
      </c>
      <c r="F168" s="32" t="s">
        <v>504</v>
      </c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</row>
    <row r="169" customFormat="false" ht="46.25" hidden="false" customHeight="false" outlineLevel="0" collapsed="false">
      <c r="A169" s="31" t="n">
        <v>33</v>
      </c>
      <c r="B169" s="31" t="s">
        <v>486</v>
      </c>
      <c r="C169" s="31" t="s">
        <v>250</v>
      </c>
      <c r="D169" s="32" t="s">
        <v>251</v>
      </c>
      <c r="E169" s="38" t="s">
        <v>126</v>
      </c>
      <c r="F169" s="32" t="s">
        <v>505</v>
      </c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</row>
    <row r="170" customFormat="false" ht="46.25" hidden="false" customHeight="false" outlineLevel="0" collapsed="false">
      <c r="A170" s="31" t="n">
        <v>33</v>
      </c>
      <c r="B170" s="31" t="s">
        <v>486</v>
      </c>
      <c r="C170" s="31" t="s">
        <v>250</v>
      </c>
      <c r="D170" s="32" t="s">
        <v>251</v>
      </c>
      <c r="E170" s="39" t="s">
        <v>127</v>
      </c>
      <c r="F170" s="32" t="s">
        <v>506</v>
      </c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</row>
    <row r="171" customFormat="false" ht="46.25" hidden="false" customHeight="false" outlineLevel="0" collapsed="false">
      <c r="A171" s="31" t="n">
        <v>34</v>
      </c>
      <c r="B171" s="31" t="s">
        <v>486</v>
      </c>
      <c r="C171" s="31" t="s">
        <v>254</v>
      </c>
      <c r="D171" s="32" t="s">
        <v>255</v>
      </c>
      <c r="E171" s="35" t="s">
        <v>123</v>
      </c>
      <c r="F171" s="32" t="s">
        <v>507</v>
      </c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</row>
    <row r="172" customFormat="false" ht="46.25" hidden="false" customHeight="false" outlineLevel="0" collapsed="false">
      <c r="A172" s="31" t="n">
        <v>34</v>
      </c>
      <c r="B172" s="31" t="s">
        <v>486</v>
      </c>
      <c r="C172" s="31" t="s">
        <v>254</v>
      </c>
      <c r="D172" s="32" t="s">
        <v>255</v>
      </c>
      <c r="E172" s="36" t="s">
        <v>124</v>
      </c>
      <c r="F172" s="32" t="s">
        <v>508</v>
      </c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</row>
    <row r="173" customFormat="false" ht="46.25" hidden="false" customHeight="false" outlineLevel="0" collapsed="false">
      <c r="A173" s="31" t="n">
        <v>34</v>
      </c>
      <c r="B173" s="31" t="s">
        <v>486</v>
      </c>
      <c r="C173" s="31" t="s">
        <v>254</v>
      </c>
      <c r="D173" s="32" t="s">
        <v>255</v>
      </c>
      <c r="E173" s="37" t="s">
        <v>125</v>
      </c>
      <c r="F173" s="32" t="s">
        <v>509</v>
      </c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</row>
    <row r="174" customFormat="false" ht="46.25" hidden="false" customHeight="false" outlineLevel="0" collapsed="false">
      <c r="A174" s="31" t="n">
        <v>34</v>
      </c>
      <c r="B174" s="31" t="s">
        <v>486</v>
      </c>
      <c r="C174" s="31" t="s">
        <v>254</v>
      </c>
      <c r="D174" s="32" t="s">
        <v>255</v>
      </c>
      <c r="E174" s="38" t="s">
        <v>126</v>
      </c>
      <c r="F174" s="32" t="s">
        <v>510</v>
      </c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</row>
    <row r="175" customFormat="false" ht="46.25" hidden="false" customHeight="false" outlineLevel="0" collapsed="false">
      <c r="A175" s="31" t="n">
        <v>34</v>
      </c>
      <c r="B175" s="31" t="s">
        <v>486</v>
      </c>
      <c r="C175" s="31" t="s">
        <v>254</v>
      </c>
      <c r="D175" s="32" t="s">
        <v>255</v>
      </c>
      <c r="E175" s="39" t="s">
        <v>127</v>
      </c>
      <c r="F175" s="32" t="s">
        <v>511</v>
      </c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</row>
    <row r="176" customFormat="false" ht="46.25" hidden="false" customHeight="false" outlineLevel="0" collapsed="false">
      <c r="A176" s="31" t="n">
        <v>35</v>
      </c>
      <c r="B176" s="31" t="s">
        <v>486</v>
      </c>
      <c r="C176" s="31" t="s">
        <v>258</v>
      </c>
      <c r="D176" s="32" t="s">
        <v>259</v>
      </c>
      <c r="E176" s="35" t="s">
        <v>123</v>
      </c>
      <c r="F176" s="32" t="s">
        <v>512</v>
      </c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</row>
    <row r="177" customFormat="false" ht="46.25" hidden="false" customHeight="false" outlineLevel="0" collapsed="false">
      <c r="A177" s="31" t="n">
        <v>35</v>
      </c>
      <c r="B177" s="31" t="s">
        <v>486</v>
      </c>
      <c r="C177" s="31" t="s">
        <v>258</v>
      </c>
      <c r="D177" s="32" t="s">
        <v>259</v>
      </c>
      <c r="E177" s="36" t="s">
        <v>124</v>
      </c>
      <c r="F177" s="32" t="s">
        <v>513</v>
      </c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</row>
    <row r="178" customFormat="false" ht="46.25" hidden="false" customHeight="false" outlineLevel="0" collapsed="false">
      <c r="A178" s="31" t="n">
        <v>35</v>
      </c>
      <c r="B178" s="31" t="s">
        <v>486</v>
      </c>
      <c r="C178" s="31" t="s">
        <v>258</v>
      </c>
      <c r="D178" s="32" t="s">
        <v>259</v>
      </c>
      <c r="E178" s="37" t="s">
        <v>125</v>
      </c>
      <c r="F178" s="32" t="s">
        <v>514</v>
      </c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</row>
    <row r="179" customFormat="false" ht="46.25" hidden="false" customHeight="false" outlineLevel="0" collapsed="false">
      <c r="A179" s="31" t="n">
        <v>35</v>
      </c>
      <c r="B179" s="31" t="s">
        <v>486</v>
      </c>
      <c r="C179" s="31" t="s">
        <v>258</v>
      </c>
      <c r="D179" s="32" t="s">
        <v>259</v>
      </c>
      <c r="E179" s="38" t="s">
        <v>126</v>
      </c>
      <c r="F179" s="32" t="s">
        <v>515</v>
      </c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</row>
    <row r="180" customFormat="false" ht="46.25" hidden="false" customHeight="false" outlineLevel="0" collapsed="false">
      <c r="A180" s="31" t="n">
        <v>35</v>
      </c>
      <c r="B180" s="31" t="s">
        <v>486</v>
      </c>
      <c r="C180" s="31" t="s">
        <v>258</v>
      </c>
      <c r="D180" s="32" t="s">
        <v>259</v>
      </c>
      <c r="E180" s="39" t="s">
        <v>127</v>
      </c>
      <c r="F180" s="32" t="s">
        <v>516</v>
      </c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</row>
    <row r="181" customFormat="false" ht="57.45" hidden="false" customHeight="false" outlineLevel="0" collapsed="false">
      <c r="A181" s="31" t="n">
        <v>36</v>
      </c>
      <c r="B181" s="31" t="s">
        <v>486</v>
      </c>
      <c r="C181" s="31" t="s">
        <v>262</v>
      </c>
      <c r="D181" s="32" t="s">
        <v>263</v>
      </c>
      <c r="E181" s="35" t="s">
        <v>123</v>
      </c>
      <c r="F181" s="32" t="s">
        <v>517</v>
      </c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</row>
    <row r="182" customFormat="false" ht="57.45" hidden="false" customHeight="false" outlineLevel="0" collapsed="false">
      <c r="A182" s="31" t="n">
        <v>36</v>
      </c>
      <c r="B182" s="31" t="s">
        <v>486</v>
      </c>
      <c r="C182" s="31" t="s">
        <v>262</v>
      </c>
      <c r="D182" s="32" t="s">
        <v>263</v>
      </c>
      <c r="E182" s="36" t="s">
        <v>124</v>
      </c>
      <c r="F182" s="32" t="s">
        <v>518</v>
      </c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</row>
    <row r="183" customFormat="false" ht="57.45" hidden="false" customHeight="false" outlineLevel="0" collapsed="false">
      <c r="A183" s="31" t="n">
        <v>36</v>
      </c>
      <c r="B183" s="31" t="s">
        <v>486</v>
      </c>
      <c r="C183" s="31" t="s">
        <v>262</v>
      </c>
      <c r="D183" s="32" t="s">
        <v>263</v>
      </c>
      <c r="E183" s="37" t="s">
        <v>125</v>
      </c>
      <c r="F183" s="32" t="s">
        <v>519</v>
      </c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</row>
    <row r="184" customFormat="false" ht="57.45" hidden="false" customHeight="false" outlineLevel="0" collapsed="false">
      <c r="A184" s="31" t="n">
        <v>36</v>
      </c>
      <c r="B184" s="31" t="s">
        <v>486</v>
      </c>
      <c r="C184" s="31" t="s">
        <v>262</v>
      </c>
      <c r="D184" s="32" t="s">
        <v>263</v>
      </c>
      <c r="E184" s="38" t="s">
        <v>126</v>
      </c>
      <c r="F184" s="32" t="s">
        <v>520</v>
      </c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</row>
    <row r="185" customFormat="false" ht="57.45" hidden="false" customHeight="false" outlineLevel="0" collapsed="false">
      <c r="A185" s="31" t="n">
        <v>36</v>
      </c>
      <c r="B185" s="31" t="s">
        <v>486</v>
      </c>
      <c r="C185" s="31" t="s">
        <v>262</v>
      </c>
      <c r="D185" s="32" t="s">
        <v>263</v>
      </c>
      <c r="E185" s="39" t="s">
        <v>127</v>
      </c>
      <c r="F185" s="32" t="s">
        <v>521</v>
      </c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</row>
    <row r="186" customFormat="false" ht="46.25" hidden="false" customHeight="false" outlineLevel="0" collapsed="false">
      <c r="A186" s="31" t="n">
        <v>37</v>
      </c>
      <c r="B186" s="31" t="s">
        <v>486</v>
      </c>
      <c r="C186" s="31" t="s">
        <v>266</v>
      </c>
      <c r="D186" s="32" t="s">
        <v>267</v>
      </c>
      <c r="E186" s="35" t="s">
        <v>123</v>
      </c>
      <c r="F186" s="32" t="s">
        <v>522</v>
      </c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</row>
    <row r="187" customFormat="false" ht="46.25" hidden="false" customHeight="false" outlineLevel="0" collapsed="false">
      <c r="A187" s="31" t="n">
        <v>37</v>
      </c>
      <c r="B187" s="31" t="s">
        <v>486</v>
      </c>
      <c r="C187" s="31" t="s">
        <v>266</v>
      </c>
      <c r="D187" s="32" t="s">
        <v>267</v>
      </c>
      <c r="E187" s="36" t="s">
        <v>124</v>
      </c>
      <c r="F187" s="32" t="s">
        <v>523</v>
      </c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</row>
    <row r="188" customFormat="false" ht="46.25" hidden="false" customHeight="false" outlineLevel="0" collapsed="false">
      <c r="A188" s="31" t="n">
        <v>37</v>
      </c>
      <c r="B188" s="31" t="s">
        <v>486</v>
      </c>
      <c r="C188" s="31" t="s">
        <v>266</v>
      </c>
      <c r="D188" s="32" t="s">
        <v>267</v>
      </c>
      <c r="E188" s="37" t="s">
        <v>125</v>
      </c>
      <c r="F188" s="32" t="s">
        <v>524</v>
      </c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</row>
    <row r="189" customFormat="false" ht="46.25" hidden="false" customHeight="false" outlineLevel="0" collapsed="false">
      <c r="A189" s="31" t="n">
        <v>37</v>
      </c>
      <c r="B189" s="31" t="s">
        <v>486</v>
      </c>
      <c r="C189" s="31" t="s">
        <v>266</v>
      </c>
      <c r="D189" s="32" t="s">
        <v>267</v>
      </c>
      <c r="E189" s="38" t="s">
        <v>126</v>
      </c>
      <c r="F189" s="32" t="s">
        <v>525</v>
      </c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</row>
    <row r="190" customFormat="false" ht="46.25" hidden="false" customHeight="false" outlineLevel="0" collapsed="false">
      <c r="A190" s="31" t="n">
        <v>37</v>
      </c>
      <c r="B190" s="31" t="s">
        <v>486</v>
      </c>
      <c r="C190" s="31" t="s">
        <v>266</v>
      </c>
      <c r="D190" s="32" t="s">
        <v>267</v>
      </c>
      <c r="E190" s="39" t="s">
        <v>127</v>
      </c>
      <c r="F190" s="32" t="s">
        <v>526</v>
      </c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</row>
    <row r="191" customFormat="false" ht="46.25" hidden="false" customHeight="false" outlineLevel="0" collapsed="false">
      <c r="A191" s="31" t="n">
        <v>38</v>
      </c>
      <c r="B191" s="31" t="s">
        <v>486</v>
      </c>
      <c r="C191" s="31" t="s">
        <v>270</v>
      </c>
      <c r="D191" s="32" t="s">
        <v>271</v>
      </c>
      <c r="E191" s="35" t="s">
        <v>123</v>
      </c>
      <c r="F191" s="32" t="s">
        <v>527</v>
      </c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</row>
    <row r="192" customFormat="false" ht="46.25" hidden="false" customHeight="false" outlineLevel="0" collapsed="false">
      <c r="A192" s="31" t="n">
        <v>38</v>
      </c>
      <c r="B192" s="31" t="s">
        <v>486</v>
      </c>
      <c r="C192" s="31" t="s">
        <v>270</v>
      </c>
      <c r="D192" s="32" t="s">
        <v>271</v>
      </c>
      <c r="E192" s="36" t="s">
        <v>124</v>
      </c>
      <c r="F192" s="32" t="s">
        <v>528</v>
      </c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</row>
    <row r="193" customFormat="false" ht="57.45" hidden="false" customHeight="false" outlineLevel="0" collapsed="false">
      <c r="A193" s="31" t="n">
        <v>38</v>
      </c>
      <c r="B193" s="31" t="s">
        <v>486</v>
      </c>
      <c r="C193" s="31" t="s">
        <v>270</v>
      </c>
      <c r="D193" s="32" t="s">
        <v>271</v>
      </c>
      <c r="E193" s="37" t="s">
        <v>125</v>
      </c>
      <c r="F193" s="32" t="s">
        <v>529</v>
      </c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</row>
    <row r="194" customFormat="false" ht="46.25" hidden="false" customHeight="false" outlineLevel="0" collapsed="false">
      <c r="A194" s="31" t="n">
        <v>38</v>
      </c>
      <c r="B194" s="31" t="s">
        <v>486</v>
      </c>
      <c r="C194" s="31" t="s">
        <v>270</v>
      </c>
      <c r="D194" s="32" t="s">
        <v>271</v>
      </c>
      <c r="E194" s="38" t="s">
        <v>126</v>
      </c>
      <c r="F194" s="32" t="s">
        <v>530</v>
      </c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</row>
    <row r="195" customFormat="false" ht="46.25" hidden="false" customHeight="false" outlineLevel="0" collapsed="false">
      <c r="A195" s="31" t="n">
        <v>38</v>
      </c>
      <c r="B195" s="31" t="s">
        <v>486</v>
      </c>
      <c r="C195" s="31" t="s">
        <v>270</v>
      </c>
      <c r="D195" s="32" t="s">
        <v>271</v>
      </c>
      <c r="E195" s="39" t="s">
        <v>127</v>
      </c>
      <c r="F195" s="32" t="s">
        <v>531</v>
      </c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</row>
    <row r="196" customFormat="false" ht="46.25" hidden="false" customHeight="false" outlineLevel="0" collapsed="false">
      <c r="A196" s="31" t="n">
        <v>39</v>
      </c>
      <c r="B196" s="31" t="s">
        <v>532</v>
      </c>
      <c r="C196" s="31" t="s">
        <v>275</v>
      </c>
      <c r="D196" s="32" t="s">
        <v>276</v>
      </c>
      <c r="E196" s="35" t="s">
        <v>123</v>
      </c>
      <c r="F196" s="32" t="s">
        <v>533</v>
      </c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</row>
    <row r="197" customFormat="false" ht="46.25" hidden="false" customHeight="false" outlineLevel="0" collapsed="false">
      <c r="A197" s="31" t="n">
        <v>39</v>
      </c>
      <c r="B197" s="31" t="s">
        <v>532</v>
      </c>
      <c r="C197" s="31" t="s">
        <v>275</v>
      </c>
      <c r="D197" s="32" t="s">
        <v>276</v>
      </c>
      <c r="E197" s="36" t="s">
        <v>124</v>
      </c>
      <c r="F197" s="32" t="s">
        <v>534</v>
      </c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</row>
    <row r="198" customFormat="false" ht="46.25" hidden="false" customHeight="false" outlineLevel="0" collapsed="false">
      <c r="A198" s="31" t="n">
        <v>39</v>
      </c>
      <c r="B198" s="31" t="s">
        <v>532</v>
      </c>
      <c r="C198" s="31" t="s">
        <v>275</v>
      </c>
      <c r="D198" s="32" t="s">
        <v>276</v>
      </c>
      <c r="E198" s="37" t="s">
        <v>125</v>
      </c>
      <c r="F198" s="32" t="s">
        <v>535</v>
      </c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</row>
    <row r="199" customFormat="false" ht="46.25" hidden="false" customHeight="false" outlineLevel="0" collapsed="false">
      <c r="A199" s="31" t="n">
        <v>39</v>
      </c>
      <c r="B199" s="31" t="s">
        <v>532</v>
      </c>
      <c r="C199" s="31" t="s">
        <v>275</v>
      </c>
      <c r="D199" s="32" t="s">
        <v>276</v>
      </c>
      <c r="E199" s="38" t="s">
        <v>126</v>
      </c>
      <c r="F199" s="32" t="s">
        <v>536</v>
      </c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</row>
    <row r="200" customFormat="false" ht="46.25" hidden="false" customHeight="false" outlineLevel="0" collapsed="false">
      <c r="A200" s="31" t="n">
        <v>39</v>
      </c>
      <c r="B200" s="31" t="s">
        <v>532</v>
      </c>
      <c r="C200" s="31" t="s">
        <v>275</v>
      </c>
      <c r="D200" s="32" t="s">
        <v>276</v>
      </c>
      <c r="E200" s="39" t="s">
        <v>127</v>
      </c>
      <c r="F200" s="32" t="s">
        <v>537</v>
      </c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</row>
    <row r="201" customFormat="false" ht="46.25" hidden="false" customHeight="false" outlineLevel="0" collapsed="false">
      <c r="A201" s="31" t="n">
        <v>40</v>
      </c>
      <c r="B201" s="31" t="s">
        <v>532</v>
      </c>
      <c r="C201" s="31" t="s">
        <v>279</v>
      </c>
      <c r="D201" s="32" t="s">
        <v>280</v>
      </c>
      <c r="E201" s="35" t="s">
        <v>123</v>
      </c>
      <c r="F201" s="32" t="s">
        <v>538</v>
      </c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</row>
    <row r="202" customFormat="false" ht="46.25" hidden="false" customHeight="false" outlineLevel="0" collapsed="false">
      <c r="A202" s="31" t="n">
        <v>40</v>
      </c>
      <c r="B202" s="31" t="s">
        <v>532</v>
      </c>
      <c r="C202" s="31" t="s">
        <v>279</v>
      </c>
      <c r="D202" s="32" t="s">
        <v>280</v>
      </c>
      <c r="E202" s="36" t="s">
        <v>124</v>
      </c>
      <c r="F202" s="32" t="s">
        <v>539</v>
      </c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</row>
    <row r="203" customFormat="false" ht="46.25" hidden="false" customHeight="false" outlineLevel="0" collapsed="false">
      <c r="A203" s="31" t="n">
        <v>40</v>
      </c>
      <c r="B203" s="31" t="s">
        <v>532</v>
      </c>
      <c r="C203" s="31" t="s">
        <v>279</v>
      </c>
      <c r="D203" s="32" t="s">
        <v>280</v>
      </c>
      <c r="E203" s="37" t="s">
        <v>125</v>
      </c>
      <c r="F203" s="32" t="s">
        <v>540</v>
      </c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</row>
    <row r="204" customFormat="false" ht="46.25" hidden="false" customHeight="false" outlineLevel="0" collapsed="false">
      <c r="A204" s="31" t="n">
        <v>40</v>
      </c>
      <c r="B204" s="31" t="s">
        <v>532</v>
      </c>
      <c r="C204" s="31" t="s">
        <v>279</v>
      </c>
      <c r="D204" s="32" t="s">
        <v>280</v>
      </c>
      <c r="E204" s="38" t="s">
        <v>126</v>
      </c>
      <c r="F204" s="32" t="s">
        <v>541</v>
      </c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</row>
    <row r="205" customFormat="false" ht="46.25" hidden="false" customHeight="false" outlineLevel="0" collapsed="false">
      <c r="A205" s="31" t="n">
        <v>40</v>
      </c>
      <c r="B205" s="31" t="s">
        <v>532</v>
      </c>
      <c r="C205" s="31" t="s">
        <v>279</v>
      </c>
      <c r="D205" s="32" t="s">
        <v>280</v>
      </c>
      <c r="E205" s="39" t="s">
        <v>127</v>
      </c>
      <c r="F205" s="32" t="s">
        <v>542</v>
      </c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</row>
    <row r="206" customFormat="false" ht="46.25" hidden="false" customHeight="false" outlineLevel="0" collapsed="false">
      <c r="A206" s="31" t="n">
        <v>41</v>
      </c>
      <c r="B206" s="31" t="s">
        <v>532</v>
      </c>
      <c r="C206" s="31" t="s">
        <v>283</v>
      </c>
      <c r="D206" s="32" t="s">
        <v>284</v>
      </c>
      <c r="E206" s="35" t="s">
        <v>123</v>
      </c>
      <c r="F206" s="32" t="s">
        <v>543</v>
      </c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</row>
    <row r="207" customFormat="false" ht="46.25" hidden="false" customHeight="false" outlineLevel="0" collapsed="false">
      <c r="A207" s="31" t="n">
        <v>41</v>
      </c>
      <c r="B207" s="31" t="s">
        <v>532</v>
      </c>
      <c r="C207" s="31" t="s">
        <v>283</v>
      </c>
      <c r="D207" s="32" t="s">
        <v>284</v>
      </c>
      <c r="E207" s="36" t="s">
        <v>124</v>
      </c>
      <c r="F207" s="32" t="s">
        <v>544</v>
      </c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</row>
    <row r="208" customFormat="false" ht="46.25" hidden="false" customHeight="false" outlineLevel="0" collapsed="false">
      <c r="A208" s="31" t="n">
        <v>41</v>
      </c>
      <c r="B208" s="31" t="s">
        <v>532</v>
      </c>
      <c r="C208" s="31" t="s">
        <v>283</v>
      </c>
      <c r="D208" s="32" t="s">
        <v>284</v>
      </c>
      <c r="E208" s="37" t="s">
        <v>125</v>
      </c>
      <c r="F208" s="32" t="s">
        <v>545</v>
      </c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</row>
    <row r="209" customFormat="false" ht="46.25" hidden="false" customHeight="false" outlineLevel="0" collapsed="false">
      <c r="A209" s="31" t="n">
        <v>41</v>
      </c>
      <c r="B209" s="31" t="s">
        <v>532</v>
      </c>
      <c r="C209" s="31" t="s">
        <v>283</v>
      </c>
      <c r="D209" s="32" t="s">
        <v>284</v>
      </c>
      <c r="E209" s="38" t="s">
        <v>126</v>
      </c>
      <c r="F209" s="32" t="s">
        <v>546</v>
      </c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</row>
    <row r="210" customFormat="false" ht="46.25" hidden="false" customHeight="false" outlineLevel="0" collapsed="false">
      <c r="A210" s="31" t="n">
        <v>41</v>
      </c>
      <c r="B210" s="31" t="s">
        <v>532</v>
      </c>
      <c r="C210" s="31" t="s">
        <v>283</v>
      </c>
      <c r="D210" s="32" t="s">
        <v>284</v>
      </c>
      <c r="E210" s="39" t="s">
        <v>127</v>
      </c>
      <c r="F210" s="32" t="s">
        <v>547</v>
      </c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</row>
    <row r="211" customFormat="false" ht="46.25" hidden="false" customHeight="false" outlineLevel="0" collapsed="false">
      <c r="A211" s="31" t="n">
        <v>42</v>
      </c>
      <c r="B211" s="31" t="s">
        <v>532</v>
      </c>
      <c r="C211" s="31" t="s">
        <v>286</v>
      </c>
      <c r="D211" s="32" t="s">
        <v>287</v>
      </c>
      <c r="E211" s="35" t="s">
        <v>123</v>
      </c>
      <c r="F211" s="32" t="s">
        <v>548</v>
      </c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</row>
    <row r="212" customFormat="false" ht="46.25" hidden="false" customHeight="false" outlineLevel="0" collapsed="false">
      <c r="A212" s="31" t="n">
        <v>42</v>
      </c>
      <c r="B212" s="31" t="s">
        <v>532</v>
      </c>
      <c r="C212" s="31" t="s">
        <v>286</v>
      </c>
      <c r="D212" s="32" t="s">
        <v>287</v>
      </c>
      <c r="E212" s="36" t="s">
        <v>124</v>
      </c>
      <c r="F212" s="32" t="s">
        <v>549</v>
      </c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</row>
    <row r="213" customFormat="false" ht="46.25" hidden="false" customHeight="false" outlineLevel="0" collapsed="false">
      <c r="A213" s="31" t="n">
        <v>42</v>
      </c>
      <c r="B213" s="31" t="s">
        <v>532</v>
      </c>
      <c r="C213" s="31" t="s">
        <v>286</v>
      </c>
      <c r="D213" s="32" t="s">
        <v>287</v>
      </c>
      <c r="E213" s="37" t="s">
        <v>125</v>
      </c>
      <c r="F213" s="32" t="s">
        <v>550</v>
      </c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</row>
    <row r="214" customFormat="false" ht="46.25" hidden="false" customHeight="false" outlineLevel="0" collapsed="false">
      <c r="A214" s="31" t="n">
        <v>42</v>
      </c>
      <c r="B214" s="31" t="s">
        <v>532</v>
      </c>
      <c r="C214" s="31" t="s">
        <v>286</v>
      </c>
      <c r="D214" s="32" t="s">
        <v>287</v>
      </c>
      <c r="E214" s="38" t="s">
        <v>126</v>
      </c>
      <c r="F214" s="32" t="s">
        <v>551</v>
      </c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</row>
    <row r="215" customFormat="false" ht="46.25" hidden="false" customHeight="false" outlineLevel="0" collapsed="false">
      <c r="A215" s="31" t="n">
        <v>42</v>
      </c>
      <c r="B215" s="31" t="s">
        <v>532</v>
      </c>
      <c r="C215" s="31" t="s">
        <v>286</v>
      </c>
      <c r="D215" s="32" t="s">
        <v>287</v>
      </c>
      <c r="E215" s="39" t="s">
        <v>127</v>
      </c>
      <c r="F215" s="32" t="s">
        <v>552</v>
      </c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</row>
    <row r="216" customFormat="false" ht="46.25" hidden="false" customHeight="false" outlineLevel="0" collapsed="false">
      <c r="A216" s="31" t="n">
        <v>43</v>
      </c>
      <c r="B216" s="31" t="s">
        <v>532</v>
      </c>
      <c r="C216" s="31" t="s">
        <v>290</v>
      </c>
      <c r="D216" s="32" t="s">
        <v>291</v>
      </c>
      <c r="E216" s="35" t="s">
        <v>123</v>
      </c>
      <c r="F216" s="32" t="s">
        <v>553</v>
      </c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</row>
    <row r="217" customFormat="false" ht="46.25" hidden="false" customHeight="false" outlineLevel="0" collapsed="false">
      <c r="A217" s="31" t="n">
        <v>43</v>
      </c>
      <c r="B217" s="31" t="s">
        <v>532</v>
      </c>
      <c r="C217" s="31" t="s">
        <v>290</v>
      </c>
      <c r="D217" s="32" t="s">
        <v>291</v>
      </c>
      <c r="E217" s="36" t="s">
        <v>124</v>
      </c>
      <c r="F217" s="32" t="s">
        <v>554</v>
      </c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</row>
    <row r="218" customFormat="false" ht="46.25" hidden="false" customHeight="false" outlineLevel="0" collapsed="false">
      <c r="A218" s="31" t="n">
        <v>43</v>
      </c>
      <c r="B218" s="31" t="s">
        <v>532</v>
      </c>
      <c r="C218" s="31" t="s">
        <v>290</v>
      </c>
      <c r="D218" s="32" t="s">
        <v>291</v>
      </c>
      <c r="E218" s="37" t="s">
        <v>125</v>
      </c>
      <c r="F218" s="32" t="s">
        <v>555</v>
      </c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</row>
    <row r="219" customFormat="false" ht="46.25" hidden="false" customHeight="false" outlineLevel="0" collapsed="false">
      <c r="A219" s="31" t="n">
        <v>43</v>
      </c>
      <c r="B219" s="31" t="s">
        <v>532</v>
      </c>
      <c r="C219" s="31" t="s">
        <v>290</v>
      </c>
      <c r="D219" s="32" t="s">
        <v>291</v>
      </c>
      <c r="E219" s="38" t="s">
        <v>126</v>
      </c>
      <c r="F219" s="32" t="s">
        <v>556</v>
      </c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</row>
    <row r="220" customFormat="false" ht="46.25" hidden="false" customHeight="false" outlineLevel="0" collapsed="false">
      <c r="A220" s="31" t="n">
        <v>43</v>
      </c>
      <c r="B220" s="31" t="s">
        <v>532</v>
      </c>
      <c r="C220" s="31" t="s">
        <v>290</v>
      </c>
      <c r="D220" s="32" t="s">
        <v>291</v>
      </c>
      <c r="E220" s="39" t="s">
        <v>127</v>
      </c>
      <c r="F220" s="32" t="s">
        <v>557</v>
      </c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</row>
    <row r="221" customFormat="false" ht="46.25" hidden="false" customHeight="false" outlineLevel="0" collapsed="false">
      <c r="A221" s="31" t="n">
        <v>44</v>
      </c>
      <c r="B221" s="31" t="s">
        <v>532</v>
      </c>
      <c r="C221" s="31" t="s">
        <v>294</v>
      </c>
      <c r="D221" s="32" t="s">
        <v>218</v>
      </c>
      <c r="E221" s="35" t="s">
        <v>123</v>
      </c>
      <c r="F221" s="32" t="s">
        <v>461</v>
      </c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</row>
    <row r="222" customFormat="false" ht="35.05" hidden="false" customHeight="false" outlineLevel="0" collapsed="false">
      <c r="A222" s="31" t="n">
        <v>44</v>
      </c>
      <c r="B222" s="31" t="s">
        <v>532</v>
      </c>
      <c r="C222" s="31" t="s">
        <v>294</v>
      </c>
      <c r="D222" s="32" t="s">
        <v>218</v>
      </c>
      <c r="E222" s="36" t="s">
        <v>124</v>
      </c>
      <c r="F222" s="32" t="s">
        <v>462</v>
      </c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</row>
    <row r="223" customFormat="false" ht="46.25" hidden="false" customHeight="false" outlineLevel="0" collapsed="false">
      <c r="A223" s="31" t="n">
        <v>44</v>
      </c>
      <c r="B223" s="31" t="s">
        <v>532</v>
      </c>
      <c r="C223" s="31" t="s">
        <v>294</v>
      </c>
      <c r="D223" s="32" t="s">
        <v>218</v>
      </c>
      <c r="E223" s="37" t="s">
        <v>125</v>
      </c>
      <c r="F223" s="32" t="s">
        <v>463</v>
      </c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</row>
    <row r="224" customFormat="false" ht="46.25" hidden="false" customHeight="false" outlineLevel="0" collapsed="false">
      <c r="A224" s="31" t="n">
        <v>44</v>
      </c>
      <c r="B224" s="31" t="s">
        <v>532</v>
      </c>
      <c r="C224" s="31" t="s">
        <v>294</v>
      </c>
      <c r="D224" s="32" t="s">
        <v>218</v>
      </c>
      <c r="E224" s="38" t="s">
        <v>126</v>
      </c>
      <c r="F224" s="32" t="s">
        <v>464</v>
      </c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</row>
    <row r="225" customFormat="false" ht="35.05" hidden="false" customHeight="false" outlineLevel="0" collapsed="false">
      <c r="A225" s="31" t="n">
        <v>44</v>
      </c>
      <c r="B225" s="31" t="s">
        <v>532</v>
      </c>
      <c r="C225" s="31" t="s">
        <v>294</v>
      </c>
      <c r="D225" s="32" t="s">
        <v>218</v>
      </c>
      <c r="E225" s="39" t="s">
        <v>127</v>
      </c>
      <c r="F225" s="32" t="s">
        <v>465</v>
      </c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</row>
    <row r="226" customFormat="false" ht="46.25" hidden="false" customHeight="false" outlineLevel="0" collapsed="false">
      <c r="A226" s="31" t="n">
        <v>45</v>
      </c>
      <c r="B226" s="31" t="s">
        <v>532</v>
      </c>
      <c r="C226" s="31" t="s">
        <v>296</v>
      </c>
      <c r="D226" s="32" t="s">
        <v>297</v>
      </c>
      <c r="E226" s="35" t="s">
        <v>123</v>
      </c>
      <c r="F226" s="32" t="s">
        <v>558</v>
      </c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</row>
    <row r="227" customFormat="false" ht="46.25" hidden="false" customHeight="false" outlineLevel="0" collapsed="false">
      <c r="A227" s="31" t="n">
        <v>45</v>
      </c>
      <c r="B227" s="31" t="s">
        <v>532</v>
      </c>
      <c r="C227" s="31" t="s">
        <v>296</v>
      </c>
      <c r="D227" s="32" t="s">
        <v>297</v>
      </c>
      <c r="E227" s="36" t="s">
        <v>124</v>
      </c>
      <c r="F227" s="32" t="s">
        <v>559</v>
      </c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</row>
    <row r="228" customFormat="false" ht="46.25" hidden="false" customHeight="false" outlineLevel="0" collapsed="false">
      <c r="A228" s="31" t="n">
        <v>45</v>
      </c>
      <c r="B228" s="31" t="s">
        <v>532</v>
      </c>
      <c r="C228" s="31" t="s">
        <v>296</v>
      </c>
      <c r="D228" s="32" t="s">
        <v>297</v>
      </c>
      <c r="E228" s="37" t="s">
        <v>125</v>
      </c>
      <c r="F228" s="32" t="s">
        <v>560</v>
      </c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</row>
    <row r="229" customFormat="false" ht="46.25" hidden="false" customHeight="false" outlineLevel="0" collapsed="false">
      <c r="A229" s="31" t="n">
        <v>45</v>
      </c>
      <c r="B229" s="31" t="s">
        <v>532</v>
      </c>
      <c r="C229" s="31" t="s">
        <v>296</v>
      </c>
      <c r="D229" s="32" t="s">
        <v>297</v>
      </c>
      <c r="E229" s="38" t="s">
        <v>126</v>
      </c>
      <c r="F229" s="32" t="s">
        <v>561</v>
      </c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</row>
    <row r="230" customFormat="false" ht="46.25" hidden="false" customHeight="false" outlineLevel="0" collapsed="false">
      <c r="A230" s="31" t="n">
        <v>45</v>
      </c>
      <c r="B230" s="31" t="s">
        <v>532</v>
      </c>
      <c r="C230" s="31" t="s">
        <v>296</v>
      </c>
      <c r="D230" s="32" t="s">
        <v>297</v>
      </c>
      <c r="E230" s="39" t="s">
        <v>127</v>
      </c>
      <c r="F230" s="32" t="s">
        <v>562</v>
      </c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</row>
    <row r="231" customFormat="false" ht="46.25" hidden="false" customHeight="false" outlineLevel="0" collapsed="false">
      <c r="A231" s="31" t="n">
        <v>46</v>
      </c>
      <c r="B231" s="31" t="s">
        <v>532</v>
      </c>
      <c r="C231" s="31" t="s">
        <v>300</v>
      </c>
      <c r="D231" s="32" t="s">
        <v>301</v>
      </c>
      <c r="E231" s="35" t="s">
        <v>123</v>
      </c>
      <c r="F231" s="32" t="s">
        <v>563</v>
      </c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</row>
    <row r="232" customFormat="false" ht="46.25" hidden="false" customHeight="false" outlineLevel="0" collapsed="false">
      <c r="A232" s="31" t="n">
        <v>46</v>
      </c>
      <c r="B232" s="31" t="s">
        <v>532</v>
      </c>
      <c r="C232" s="31" t="s">
        <v>300</v>
      </c>
      <c r="D232" s="32" t="s">
        <v>301</v>
      </c>
      <c r="E232" s="36" t="s">
        <v>124</v>
      </c>
      <c r="F232" s="32" t="s">
        <v>564</v>
      </c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</row>
    <row r="233" customFormat="false" ht="46.25" hidden="false" customHeight="false" outlineLevel="0" collapsed="false">
      <c r="A233" s="31" t="n">
        <v>46</v>
      </c>
      <c r="B233" s="31" t="s">
        <v>532</v>
      </c>
      <c r="C233" s="31" t="s">
        <v>300</v>
      </c>
      <c r="D233" s="32" t="s">
        <v>301</v>
      </c>
      <c r="E233" s="37" t="s">
        <v>125</v>
      </c>
      <c r="F233" s="32" t="s">
        <v>565</v>
      </c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</row>
    <row r="234" customFormat="false" ht="46.25" hidden="false" customHeight="false" outlineLevel="0" collapsed="false">
      <c r="A234" s="31" t="n">
        <v>46</v>
      </c>
      <c r="B234" s="31" t="s">
        <v>532</v>
      </c>
      <c r="C234" s="31" t="s">
        <v>300</v>
      </c>
      <c r="D234" s="32" t="s">
        <v>301</v>
      </c>
      <c r="E234" s="38" t="s">
        <v>126</v>
      </c>
      <c r="F234" s="32" t="s">
        <v>566</v>
      </c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</row>
    <row r="235" customFormat="false" ht="46.25" hidden="false" customHeight="false" outlineLevel="0" collapsed="false">
      <c r="A235" s="31" t="n">
        <v>46</v>
      </c>
      <c r="B235" s="31" t="s">
        <v>532</v>
      </c>
      <c r="C235" s="31" t="s">
        <v>300</v>
      </c>
      <c r="D235" s="32" t="s">
        <v>301</v>
      </c>
      <c r="E235" s="39" t="s">
        <v>127</v>
      </c>
      <c r="F235" s="32" t="s">
        <v>567</v>
      </c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</row>
    <row r="236" customFormat="false" ht="46.25" hidden="false" customHeight="false" outlineLevel="0" collapsed="false">
      <c r="A236" s="31" t="n">
        <v>47</v>
      </c>
      <c r="B236" s="31" t="s">
        <v>532</v>
      </c>
      <c r="C236" s="31" t="s">
        <v>304</v>
      </c>
      <c r="D236" s="32" t="s">
        <v>305</v>
      </c>
      <c r="E236" s="35" t="s">
        <v>123</v>
      </c>
      <c r="F236" s="32" t="s">
        <v>568</v>
      </c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</row>
    <row r="237" customFormat="false" ht="46.25" hidden="false" customHeight="false" outlineLevel="0" collapsed="false">
      <c r="A237" s="31" t="n">
        <v>47</v>
      </c>
      <c r="B237" s="31" t="s">
        <v>532</v>
      </c>
      <c r="C237" s="31" t="s">
        <v>304</v>
      </c>
      <c r="D237" s="32" t="s">
        <v>305</v>
      </c>
      <c r="E237" s="36" t="s">
        <v>124</v>
      </c>
      <c r="F237" s="32" t="s">
        <v>569</v>
      </c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</row>
    <row r="238" customFormat="false" ht="46.25" hidden="false" customHeight="false" outlineLevel="0" collapsed="false">
      <c r="A238" s="31" t="n">
        <v>47</v>
      </c>
      <c r="B238" s="31" t="s">
        <v>532</v>
      </c>
      <c r="C238" s="31" t="s">
        <v>304</v>
      </c>
      <c r="D238" s="32" t="s">
        <v>305</v>
      </c>
      <c r="E238" s="37" t="s">
        <v>125</v>
      </c>
      <c r="F238" s="32" t="s">
        <v>570</v>
      </c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</row>
    <row r="239" customFormat="false" ht="46.25" hidden="false" customHeight="false" outlineLevel="0" collapsed="false">
      <c r="A239" s="31" t="n">
        <v>47</v>
      </c>
      <c r="B239" s="31" t="s">
        <v>532</v>
      </c>
      <c r="C239" s="31" t="s">
        <v>304</v>
      </c>
      <c r="D239" s="32" t="s">
        <v>305</v>
      </c>
      <c r="E239" s="38" t="s">
        <v>126</v>
      </c>
      <c r="F239" s="32" t="s">
        <v>571</v>
      </c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</row>
    <row r="240" customFormat="false" ht="46.25" hidden="false" customHeight="false" outlineLevel="0" collapsed="false">
      <c r="A240" s="31" t="n">
        <v>47</v>
      </c>
      <c r="B240" s="31" t="s">
        <v>532</v>
      </c>
      <c r="C240" s="31" t="s">
        <v>304</v>
      </c>
      <c r="D240" s="32" t="s">
        <v>305</v>
      </c>
      <c r="E240" s="39" t="s">
        <v>127</v>
      </c>
      <c r="F240" s="32" t="s">
        <v>572</v>
      </c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</row>
    <row r="241" customFormat="false" ht="46.25" hidden="false" customHeight="false" outlineLevel="0" collapsed="false">
      <c r="A241" s="31" t="n">
        <v>48</v>
      </c>
      <c r="B241" s="31" t="s">
        <v>532</v>
      </c>
      <c r="C241" s="31" t="s">
        <v>307</v>
      </c>
      <c r="D241" s="32" t="s">
        <v>308</v>
      </c>
      <c r="E241" s="35" t="s">
        <v>123</v>
      </c>
      <c r="F241" s="32" t="s">
        <v>573</v>
      </c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</row>
    <row r="242" customFormat="false" ht="46.25" hidden="false" customHeight="false" outlineLevel="0" collapsed="false">
      <c r="A242" s="31" t="n">
        <v>48</v>
      </c>
      <c r="B242" s="31" t="s">
        <v>532</v>
      </c>
      <c r="C242" s="31" t="s">
        <v>307</v>
      </c>
      <c r="D242" s="32" t="s">
        <v>308</v>
      </c>
      <c r="E242" s="36" t="s">
        <v>124</v>
      </c>
      <c r="F242" s="32" t="s">
        <v>574</v>
      </c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</row>
    <row r="243" customFormat="false" ht="46.25" hidden="false" customHeight="false" outlineLevel="0" collapsed="false">
      <c r="A243" s="31" t="n">
        <v>48</v>
      </c>
      <c r="B243" s="31" t="s">
        <v>532</v>
      </c>
      <c r="C243" s="31" t="s">
        <v>307</v>
      </c>
      <c r="D243" s="32" t="s">
        <v>308</v>
      </c>
      <c r="E243" s="37" t="s">
        <v>125</v>
      </c>
      <c r="F243" s="32" t="s">
        <v>575</v>
      </c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</row>
    <row r="244" customFormat="false" ht="46.25" hidden="false" customHeight="false" outlineLevel="0" collapsed="false">
      <c r="A244" s="31" t="n">
        <v>48</v>
      </c>
      <c r="B244" s="31" t="s">
        <v>532</v>
      </c>
      <c r="C244" s="31" t="s">
        <v>307</v>
      </c>
      <c r="D244" s="32" t="s">
        <v>308</v>
      </c>
      <c r="E244" s="38" t="s">
        <v>126</v>
      </c>
      <c r="F244" s="32" t="s">
        <v>576</v>
      </c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</row>
    <row r="245" customFormat="false" ht="46.25" hidden="false" customHeight="false" outlineLevel="0" collapsed="false">
      <c r="A245" s="31" t="n">
        <v>48</v>
      </c>
      <c r="B245" s="31" t="s">
        <v>532</v>
      </c>
      <c r="C245" s="31" t="s">
        <v>307</v>
      </c>
      <c r="D245" s="32" t="s">
        <v>308</v>
      </c>
      <c r="E245" s="39" t="s">
        <v>127</v>
      </c>
      <c r="F245" s="32" t="s">
        <v>577</v>
      </c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</row>
    <row r="246" customFormat="false" ht="35.05" hidden="false" customHeight="false" outlineLevel="0" collapsed="false">
      <c r="A246" s="31" t="n">
        <v>49</v>
      </c>
      <c r="B246" s="31" t="s">
        <v>532</v>
      </c>
      <c r="C246" s="31" t="s">
        <v>310</v>
      </c>
      <c r="D246" s="32" t="s">
        <v>311</v>
      </c>
      <c r="E246" s="35" t="s">
        <v>123</v>
      </c>
      <c r="F246" s="32" t="s">
        <v>578</v>
      </c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</row>
    <row r="247" customFormat="false" ht="35.05" hidden="false" customHeight="false" outlineLevel="0" collapsed="false">
      <c r="A247" s="31" t="n">
        <v>49</v>
      </c>
      <c r="B247" s="31" t="s">
        <v>532</v>
      </c>
      <c r="C247" s="31" t="s">
        <v>310</v>
      </c>
      <c r="D247" s="32" t="s">
        <v>311</v>
      </c>
      <c r="E247" s="36" t="s">
        <v>124</v>
      </c>
      <c r="F247" s="32" t="s">
        <v>579</v>
      </c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</row>
    <row r="248" customFormat="false" ht="46.25" hidden="false" customHeight="false" outlineLevel="0" collapsed="false">
      <c r="A248" s="31" t="n">
        <v>49</v>
      </c>
      <c r="B248" s="31" t="s">
        <v>532</v>
      </c>
      <c r="C248" s="31" t="s">
        <v>310</v>
      </c>
      <c r="D248" s="32" t="s">
        <v>311</v>
      </c>
      <c r="E248" s="37" t="s">
        <v>125</v>
      </c>
      <c r="F248" s="32" t="s">
        <v>580</v>
      </c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</row>
    <row r="249" customFormat="false" ht="46.25" hidden="false" customHeight="false" outlineLevel="0" collapsed="false">
      <c r="A249" s="31" t="n">
        <v>49</v>
      </c>
      <c r="B249" s="31" t="s">
        <v>532</v>
      </c>
      <c r="C249" s="31" t="s">
        <v>310</v>
      </c>
      <c r="D249" s="32" t="s">
        <v>311</v>
      </c>
      <c r="E249" s="38" t="s">
        <v>126</v>
      </c>
      <c r="F249" s="32" t="s">
        <v>581</v>
      </c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</row>
    <row r="250" customFormat="false" ht="35.05" hidden="false" customHeight="false" outlineLevel="0" collapsed="false">
      <c r="A250" s="31" t="n">
        <v>49</v>
      </c>
      <c r="B250" s="31" t="s">
        <v>532</v>
      </c>
      <c r="C250" s="31" t="s">
        <v>310</v>
      </c>
      <c r="D250" s="32" t="s">
        <v>311</v>
      </c>
      <c r="E250" s="39" t="s">
        <v>127</v>
      </c>
      <c r="F250" s="32" t="s">
        <v>582</v>
      </c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</row>
    <row r="251" customFormat="false" ht="57.45" hidden="false" customHeight="false" outlineLevel="0" collapsed="false">
      <c r="A251" s="31" t="n">
        <v>50</v>
      </c>
      <c r="B251" s="31" t="s">
        <v>532</v>
      </c>
      <c r="C251" s="31" t="s">
        <v>313</v>
      </c>
      <c r="D251" s="32" t="s">
        <v>314</v>
      </c>
      <c r="E251" s="35" t="s">
        <v>123</v>
      </c>
      <c r="F251" s="32" t="s">
        <v>583</v>
      </c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</row>
    <row r="252" customFormat="false" ht="57.45" hidden="false" customHeight="false" outlineLevel="0" collapsed="false">
      <c r="A252" s="31" t="n">
        <v>50</v>
      </c>
      <c r="B252" s="31" t="s">
        <v>532</v>
      </c>
      <c r="C252" s="31" t="s">
        <v>313</v>
      </c>
      <c r="D252" s="32" t="s">
        <v>314</v>
      </c>
      <c r="E252" s="36" t="s">
        <v>124</v>
      </c>
      <c r="F252" s="32" t="s">
        <v>584</v>
      </c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</row>
    <row r="253" customFormat="false" ht="57.45" hidden="false" customHeight="false" outlineLevel="0" collapsed="false">
      <c r="A253" s="31" t="n">
        <v>50</v>
      </c>
      <c r="B253" s="31" t="s">
        <v>532</v>
      </c>
      <c r="C253" s="31" t="s">
        <v>313</v>
      </c>
      <c r="D253" s="32" t="s">
        <v>314</v>
      </c>
      <c r="E253" s="37" t="s">
        <v>125</v>
      </c>
      <c r="F253" s="32" t="s">
        <v>585</v>
      </c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</row>
    <row r="254" customFormat="false" ht="57.45" hidden="false" customHeight="false" outlineLevel="0" collapsed="false">
      <c r="A254" s="31" t="n">
        <v>50</v>
      </c>
      <c r="B254" s="31" t="s">
        <v>532</v>
      </c>
      <c r="C254" s="31" t="s">
        <v>313</v>
      </c>
      <c r="D254" s="32" t="s">
        <v>314</v>
      </c>
      <c r="E254" s="38" t="s">
        <v>126</v>
      </c>
      <c r="F254" s="32" t="s">
        <v>586</v>
      </c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</row>
    <row r="255" customFormat="false" ht="57.45" hidden="false" customHeight="false" outlineLevel="0" collapsed="false">
      <c r="A255" s="31" t="n">
        <v>50</v>
      </c>
      <c r="B255" s="31" t="s">
        <v>532</v>
      </c>
      <c r="C255" s="31" t="s">
        <v>313</v>
      </c>
      <c r="D255" s="32" t="s">
        <v>314</v>
      </c>
      <c r="E255" s="39" t="s">
        <v>127</v>
      </c>
      <c r="F255" s="32" t="s">
        <v>587</v>
      </c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</row>
  </sheetData>
  <mergeCells count="6">
    <mergeCell ref="A1:R1"/>
    <mergeCell ref="A2:R2"/>
    <mergeCell ref="A4:F4"/>
    <mergeCell ref="H4:K4"/>
    <mergeCell ref="L4:O4"/>
    <mergeCell ref="P4:R4"/>
  </mergeCells>
  <dataValidations count="2">
    <dataValidation allowBlank="true" error="Pilih salah satu dari daftar." errorStyle="stop" operator="between" prompt="Pilih kategori temuan audit" showDropDown="false" showErrorMessage="false" showInputMessage="false" sqref="J6:J255" type="list">
      <formula1>"Sesuai,Observasi (OB),KTS Minor,KTS Mayor"</formula1>
      <formula2>0</formula2>
    </dataValidation>
    <dataValidation allowBlank="true" errorStyle="stop" operator="between" showDropDown="false" showErrorMessage="false" showInputMessage="false" sqref="P6:P255" type="list">
      <formula1>"Belum Diverifikasi,Terverifikasi - Selesai,Terverifikasi - Belum Selesai,Terverifikasi - Perlu Tindak Lanjut Lanjutan"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Q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46"/>
    <col collapsed="false" customWidth="true" hidden="false" outlineLevel="0" max="17" min="6" style="0" width="24"/>
  </cols>
  <sheetData>
    <row r="1" customFormat="false" ht="25.5" hidden="false" customHeight="true" outlineLevel="0" collapsed="false">
      <c r="A1" s="40" t="s">
        <v>588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customFormat="false" ht="27.75" hidden="false" customHeight="true" outlineLevel="0" collapsed="false">
      <c r="A2" s="22" t="s">
        <v>589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4" customFormat="false" ht="18" hidden="false" customHeight="true" outlineLevel="0" collapsed="false">
      <c r="A4" s="23" t="s">
        <v>319</v>
      </c>
      <c r="B4" s="23"/>
      <c r="C4" s="23"/>
      <c r="D4" s="23"/>
      <c r="E4" s="23"/>
      <c r="F4" s="34" t="s">
        <v>320</v>
      </c>
      <c r="G4" s="26" t="s">
        <v>321</v>
      </c>
      <c r="H4" s="26"/>
      <c r="I4" s="26"/>
      <c r="J4" s="26"/>
      <c r="K4" s="27" t="s">
        <v>322</v>
      </c>
      <c r="L4" s="27"/>
      <c r="M4" s="27"/>
      <c r="N4" s="27"/>
      <c r="O4" s="28" t="s">
        <v>323</v>
      </c>
      <c r="P4" s="28"/>
      <c r="Q4" s="28"/>
    </row>
    <row r="5" customFormat="false" ht="31.5" hidden="false" customHeight="true" outlineLevel="0" collapsed="false">
      <c r="A5" s="29" t="s">
        <v>128</v>
      </c>
      <c r="B5" s="29" t="s">
        <v>590</v>
      </c>
      <c r="C5" s="29" t="s">
        <v>591</v>
      </c>
      <c r="D5" s="29" t="s">
        <v>324</v>
      </c>
      <c r="E5" s="29" t="s">
        <v>325</v>
      </c>
      <c r="F5" s="30" t="s">
        <v>326</v>
      </c>
      <c r="G5" s="30" t="s">
        <v>327</v>
      </c>
      <c r="H5" s="30" t="s">
        <v>328</v>
      </c>
      <c r="I5" s="30" t="s">
        <v>329</v>
      </c>
      <c r="J5" s="30" t="s">
        <v>330</v>
      </c>
      <c r="K5" s="30" t="s">
        <v>331</v>
      </c>
      <c r="L5" s="30" t="s">
        <v>332</v>
      </c>
      <c r="M5" s="30" t="s">
        <v>333</v>
      </c>
      <c r="N5" s="30" t="s">
        <v>334</v>
      </c>
      <c r="O5" s="30" t="s">
        <v>335</v>
      </c>
      <c r="P5" s="30" t="s">
        <v>336</v>
      </c>
      <c r="Q5" s="30" t="s">
        <v>337</v>
      </c>
    </row>
    <row r="6" customFormat="false" ht="46.25" hidden="false" customHeight="false" outlineLevel="0" collapsed="false">
      <c r="A6" s="31" t="n">
        <v>1</v>
      </c>
      <c r="B6" s="31" t="s">
        <v>592</v>
      </c>
      <c r="C6" s="32" t="s">
        <v>593</v>
      </c>
      <c r="D6" s="35" t="s">
        <v>123</v>
      </c>
      <c r="E6" s="32" t="s">
        <v>594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</row>
    <row r="7" customFormat="false" ht="46.25" hidden="false" customHeight="false" outlineLevel="0" collapsed="false">
      <c r="A7" s="31" t="n">
        <v>1</v>
      </c>
      <c r="B7" s="31" t="s">
        <v>592</v>
      </c>
      <c r="C7" s="32" t="s">
        <v>593</v>
      </c>
      <c r="D7" s="36" t="s">
        <v>124</v>
      </c>
      <c r="E7" s="32" t="s">
        <v>595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</row>
    <row r="8" customFormat="false" ht="35.05" hidden="false" customHeight="false" outlineLevel="0" collapsed="false">
      <c r="A8" s="31" t="n">
        <v>1</v>
      </c>
      <c r="B8" s="31" t="s">
        <v>592</v>
      </c>
      <c r="C8" s="32" t="s">
        <v>593</v>
      </c>
      <c r="D8" s="37" t="s">
        <v>125</v>
      </c>
      <c r="E8" s="32" t="s">
        <v>596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</row>
    <row r="9" customFormat="false" ht="46.25" hidden="false" customHeight="false" outlineLevel="0" collapsed="false">
      <c r="A9" s="31" t="n">
        <v>1</v>
      </c>
      <c r="B9" s="31" t="s">
        <v>592</v>
      </c>
      <c r="C9" s="32" t="s">
        <v>593</v>
      </c>
      <c r="D9" s="38" t="s">
        <v>126</v>
      </c>
      <c r="E9" s="32" t="s">
        <v>597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</row>
    <row r="10" customFormat="false" ht="46.25" hidden="false" customHeight="false" outlineLevel="0" collapsed="false">
      <c r="A10" s="31" t="n">
        <v>1</v>
      </c>
      <c r="B10" s="31" t="s">
        <v>592</v>
      </c>
      <c r="C10" s="32" t="s">
        <v>593</v>
      </c>
      <c r="D10" s="39" t="s">
        <v>127</v>
      </c>
      <c r="E10" s="32" t="s">
        <v>598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customFormat="false" ht="35.05" hidden="false" customHeight="false" outlineLevel="0" collapsed="false">
      <c r="A11" s="31" t="n">
        <v>2</v>
      </c>
      <c r="B11" s="31" t="s">
        <v>599</v>
      </c>
      <c r="C11" s="32" t="s">
        <v>600</v>
      </c>
      <c r="D11" s="35" t="s">
        <v>123</v>
      </c>
      <c r="E11" s="32" t="s">
        <v>601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</row>
    <row r="12" customFormat="false" ht="35.05" hidden="false" customHeight="false" outlineLevel="0" collapsed="false">
      <c r="A12" s="31" t="n">
        <v>2</v>
      </c>
      <c r="B12" s="31" t="s">
        <v>599</v>
      </c>
      <c r="C12" s="32" t="s">
        <v>600</v>
      </c>
      <c r="D12" s="36" t="s">
        <v>124</v>
      </c>
      <c r="E12" s="32" t="s">
        <v>602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</row>
    <row r="13" customFormat="false" ht="35.05" hidden="false" customHeight="false" outlineLevel="0" collapsed="false">
      <c r="A13" s="31" t="n">
        <v>2</v>
      </c>
      <c r="B13" s="31" t="s">
        <v>599</v>
      </c>
      <c r="C13" s="32" t="s">
        <v>600</v>
      </c>
      <c r="D13" s="37" t="s">
        <v>125</v>
      </c>
      <c r="E13" s="32" t="s">
        <v>603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</row>
    <row r="14" customFormat="false" ht="46.25" hidden="false" customHeight="false" outlineLevel="0" collapsed="false">
      <c r="A14" s="31" t="n">
        <v>2</v>
      </c>
      <c r="B14" s="31" t="s">
        <v>599</v>
      </c>
      <c r="C14" s="32" t="s">
        <v>600</v>
      </c>
      <c r="D14" s="38" t="s">
        <v>126</v>
      </c>
      <c r="E14" s="32" t="s">
        <v>604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</row>
    <row r="15" customFormat="false" ht="35.05" hidden="false" customHeight="false" outlineLevel="0" collapsed="false">
      <c r="A15" s="31" t="n">
        <v>2</v>
      </c>
      <c r="B15" s="31" t="s">
        <v>599</v>
      </c>
      <c r="C15" s="32" t="s">
        <v>600</v>
      </c>
      <c r="D15" s="39" t="s">
        <v>127</v>
      </c>
      <c r="E15" s="32" t="s">
        <v>605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</row>
    <row r="16" customFormat="false" ht="46.25" hidden="false" customHeight="false" outlineLevel="0" collapsed="false">
      <c r="A16" s="31" t="n">
        <v>3</v>
      </c>
      <c r="B16" s="31" t="s">
        <v>606</v>
      </c>
      <c r="C16" s="32" t="s">
        <v>607</v>
      </c>
      <c r="D16" s="35" t="s">
        <v>123</v>
      </c>
      <c r="E16" s="32" t="s">
        <v>608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</row>
    <row r="17" customFormat="false" ht="46.25" hidden="false" customHeight="false" outlineLevel="0" collapsed="false">
      <c r="A17" s="31" t="n">
        <v>3</v>
      </c>
      <c r="B17" s="31" t="s">
        <v>606</v>
      </c>
      <c r="C17" s="32" t="s">
        <v>607</v>
      </c>
      <c r="D17" s="36" t="s">
        <v>124</v>
      </c>
      <c r="E17" s="32" t="s">
        <v>609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</row>
    <row r="18" customFormat="false" ht="35.05" hidden="false" customHeight="false" outlineLevel="0" collapsed="false">
      <c r="A18" s="31" t="n">
        <v>3</v>
      </c>
      <c r="B18" s="31" t="s">
        <v>606</v>
      </c>
      <c r="C18" s="32" t="s">
        <v>607</v>
      </c>
      <c r="D18" s="37" t="s">
        <v>125</v>
      </c>
      <c r="E18" s="32" t="s">
        <v>610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</row>
    <row r="19" customFormat="false" ht="46.25" hidden="false" customHeight="false" outlineLevel="0" collapsed="false">
      <c r="A19" s="31" t="n">
        <v>3</v>
      </c>
      <c r="B19" s="31" t="s">
        <v>606</v>
      </c>
      <c r="C19" s="32" t="s">
        <v>607</v>
      </c>
      <c r="D19" s="38" t="s">
        <v>126</v>
      </c>
      <c r="E19" s="32" t="s">
        <v>611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</row>
    <row r="20" customFormat="false" ht="46.25" hidden="false" customHeight="false" outlineLevel="0" collapsed="false">
      <c r="A20" s="31" t="n">
        <v>3</v>
      </c>
      <c r="B20" s="31" t="s">
        <v>606</v>
      </c>
      <c r="C20" s="32" t="s">
        <v>607</v>
      </c>
      <c r="D20" s="39" t="s">
        <v>127</v>
      </c>
      <c r="E20" s="32" t="s">
        <v>612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</row>
    <row r="21" customFormat="false" ht="35.05" hidden="false" customHeight="false" outlineLevel="0" collapsed="false">
      <c r="A21" s="31" t="n">
        <v>4</v>
      </c>
      <c r="B21" s="31" t="s">
        <v>613</v>
      </c>
      <c r="C21" s="32" t="s">
        <v>614</v>
      </c>
      <c r="D21" s="35" t="s">
        <v>123</v>
      </c>
      <c r="E21" s="32" t="s">
        <v>615</v>
      </c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</row>
    <row r="22" customFormat="false" ht="35.05" hidden="false" customHeight="false" outlineLevel="0" collapsed="false">
      <c r="A22" s="31" t="n">
        <v>4</v>
      </c>
      <c r="B22" s="31" t="s">
        <v>613</v>
      </c>
      <c r="C22" s="32" t="s">
        <v>614</v>
      </c>
      <c r="D22" s="36" t="s">
        <v>124</v>
      </c>
      <c r="E22" s="32" t="s">
        <v>616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</row>
    <row r="23" customFormat="false" ht="35.05" hidden="false" customHeight="false" outlineLevel="0" collapsed="false">
      <c r="A23" s="31" t="n">
        <v>4</v>
      </c>
      <c r="B23" s="31" t="s">
        <v>613</v>
      </c>
      <c r="C23" s="32" t="s">
        <v>614</v>
      </c>
      <c r="D23" s="37" t="s">
        <v>125</v>
      </c>
      <c r="E23" s="32" t="s">
        <v>617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</row>
    <row r="24" customFormat="false" ht="46.25" hidden="false" customHeight="false" outlineLevel="0" collapsed="false">
      <c r="A24" s="31" t="n">
        <v>4</v>
      </c>
      <c r="B24" s="31" t="s">
        <v>613</v>
      </c>
      <c r="C24" s="32" t="s">
        <v>614</v>
      </c>
      <c r="D24" s="38" t="s">
        <v>126</v>
      </c>
      <c r="E24" s="32" t="s">
        <v>618</v>
      </c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</row>
    <row r="25" customFormat="false" ht="35.05" hidden="false" customHeight="false" outlineLevel="0" collapsed="false">
      <c r="A25" s="31" t="n">
        <v>4</v>
      </c>
      <c r="B25" s="31" t="s">
        <v>613</v>
      </c>
      <c r="C25" s="32" t="s">
        <v>614</v>
      </c>
      <c r="D25" s="39" t="s">
        <v>127</v>
      </c>
      <c r="E25" s="32" t="s">
        <v>619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</row>
    <row r="26" customFormat="false" ht="35.05" hidden="false" customHeight="false" outlineLevel="0" collapsed="false">
      <c r="A26" s="31" t="n">
        <v>5</v>
      </c>
      <c r="B26" s="31" t="s">
        <v>620</v>
      </c>
      <c r="C26" s="32" t="s">
        <v>173</v>
      </c>
      <c r="D26" s="35" t="s">
        <v>123</v>
      </c>
      <c r="E26" s="32" t="s">
        <v>621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customFormat="false" ht="35.05" hidden="false" customHeight="false" outlineLevel="0" collapsed="false">
      <c r="A27" s="31" t="n">
        <v>5</v>
      </c>
      <c r="B27" s="31" t="s">
        <v>620</v>
      </c>
      <c r="C27" s="32" t="s">
        <v>173</v>
      </c>
      <c r="D27" s="36" t="s">
        <v>124</v>
      </c>
      <c r="E27" s="32" t="s">
        <v>622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</row>
    <row r="28" customFormat="false" ht="35.05" hidden="false" customHeight="false" outlineLevel="0" collapsed="false">
      <c r="A28" s="31" t="n">
        <v>5</v>
      </c>
      <c r="B28" s="31" t="s">
        <v>620</v>
      </c>
      <c r="C28" s="32" t="s">
        <v>173</v>
      </c>
      <c r="D28" s="37" t="s">
        <v>125</v>
      </c>
      <c r="E28" s="32" t="s">
        <v>623</v>
      </c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</row>
    <row r="29" customFormat="false" ht="35.05" hidden="false" customHeight="false" outlineLevel="0" collapsed="false">
      <c r="A29" s="31" t="n">
        <v>5</v>
      </c>
      <c r="B29" s="31" t="s">
        <v>620</v>
      </c>
      <c r="C29" s="32" t="s">
        <v>173</v>
      </c>
      <c r="D29" s="38" t="s">
        <v>126</v>
      </c>
      <c r="E29" s="32" t="s">
        <v>624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</row>
    <row r="30" customFormat="false" ht="35.05" hidden="false" customHeight="false" outlineLevel="0" collapsed="false">
      <c r="A30" s="31" t="n">
        <v>5</v>
      </c>
      <c r="B30" s="31" t="s">
        <v>620</v>
      </c>
      <c r="C30" s="32" t="s">
        <v>173</v>
      </c>
      <c r="D30" s="39" t="s">
        <v>127</v>
      </c>
      <c r="E30" s="32" t="s">
        <v>625</v>
      </c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</row>
    <row r="31" customFormat="false" ht="35.05" hidden="false" customHeight="false" outlineLevel="0" collapsed="false">
      <c r="A31" s="31" t="n">
        <v>6</v>
      </c>
      <c r="B31" s="31" t="s">
        <v>626</v>
      </c>
      <c r="C31" s="32" t="s">
        <v>627</v>
      </c>
      <c r="D31" s="35" t="s">
        <v>123</v>
      </c>
      <c r="E31" s="32" t="s">
        <v>628</v>
      </c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</row>
    <row r="32" customFormat="false" ht="35.05" hidden="false" customHeight="false" outlineLevel="0" collapsed="false">
      <c r="A32" s="31" t="n">
        <v>6</v>
      </c>
      <c r="B32" s="31" t="s">
        <v>626</v>
      </c>
      <c r="C32" s="32" t="s">
        <v>627</v>
      </c>
      <c r="D32" s="36" t="s">
        <v>124</v>
      </c>
      <c r="E32" s="32" t="s">
        <v>629</v>
      </c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</row>
    <row r="33" customFormat="false" ht="35.05" hidden="false" customHeight="false" outlineLevel="0" collapsed="false">
      <c r="A33" s="31" t="n">
        <v>6</v>
      </c>
      <c r="B33" s="31" t="s">
        <v>626</v>
      </c>
      <c r="C33" s="32" t="s">
        <v>627</v>
      </c>
      <c r="D33" s="37" t="s">
        <v>125</v>
      </c>
      <c r="E33" s="32" t="s">
        <v>630</v>
      </c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</row>
    <row r="34" customFormat="false" ht="35.05" hidden="false" customHeight="false" outlineLevel="0" collapsed="false">
      <c r="A34" s="31" t="n">
        <v>6</v>
      </c>
      <c r="B34" s="31" t="s">
        <v>626</v>
      </c>
      <c r="C34" s="32" t="s">
        <v>627</v>
      </c>
      <c r="D34" s="38" t="s">
        <v>126</v>
      </c>
      <c r="E34" s="32" t="s">
        <v>631</v>
      </c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</row>
    <row r="35" customFormat="false" ht="35.05" hidden="false" customHeight="false" outlineLevel="0" collapsed="false">
      <c r="A35" s="31" t="n">
        <v>6</v>
      </c>
      <c r="B35" s="31" t="s">
        <v>626</v>
      </c>
      <c r="C35" s="32" t="s">
        <v>627</v>
      </c>
      <c r="D35" s="39" t="s">
        <v>127</v>
      </c>
      <c r="E35" s="32" t="s">
        <v>632</v>
      </c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</row>
    <row r="36" customFormat="false" ht="35.05" hidden="false" customHeight="false" outlineLevel="0" collapsed="false">
      <c r="A36" s="31" t="n">
        <v>7</v>
      </c>
      <c r="B36" s="31" t="s">
        <v>633</v>
      </c>
      <c r="C36" s="32" t="s">
        <v>634</v>
      </c>
      <c r="D36" s="35" t="s">
        <v>123</v>
      </c>
      <c r="E36" s="32" t="s">
        <v>635</v>
      </c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</row>
    <row r="37" customFormat="false" ht="35.05" hidden="false" customHeight="false" outlineLevel="0" collapsed="false">
      <c r="A37" s="31" t="n">
        <v>7</v>
      </c>
      <c r="B37" s="31" t="s">
        <v>633</v>
      </c>
      <c r="C37" s="32" t="s">
        <v>634</v>
      </c>
      <c r="D37" s="36" t="s">
        <v>124</v>
      </c>
      <c r="E37" s="32" t="s">
        <v>636</v>
      </c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</row>
    <row r="38" customFormat="false" ht="35.05" hidden="false" customHeight="false" outlineLevel="0" collapsed="false">
      <c r="A38" s="31" t="n">
        <v>7</v>
      </c>
      <c r="B38" s="31" t="s">
        <v>633</v>
      </c>
      <c r="C38" s="32" t="s">
        <v>634</v>
      </c>
      <c r="D38" s="37" t="s">
        <v>125</v>
      </c>
      <c r="E38" s="32" t="s">
        <v>637</v>
      </c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</row>
    <row r="39" customFormat="false" ht="46.25" hidden="false" customHeight="false" outlineLevel="0" collapsed="false">
      <c r="A39" s="31" t="n">
        <v>7</v>
      </c>
      <c r="B39" s="31" t="s">
        <v>633</v>
      </c>
      <c r="C39" s="32" t="s">
        <v>634</v>
      </c>
      <c r="D39" s="38" t="s">
        <v>126</v>
      </c>
      <c r="E39" s="32" t="s">
        <v>638</v>
      </c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</row>
    <row r="40" customFormat="false" ht="35.05" hidden="false" customHeight="false" outlineLevel="0" collapsed="false">
      <c r="A40" s="31" t="n">
        <v>7</v>
      </c>
      <c r="B40" s="31" t="s">
        <v>633</v>
      </c>
      <c r="C40" s="32" t="s">
        <v>634</v>
      </c>
      <c r="D40" s="39" t="s">
        <v>127</v>
      </c>
      <c r="E40" s="32" t="s">
        <v>639</v>
      </c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</row>
  </sheetData>
  <mergeCells count="6">
    <mergeCell ref="A1:Q1"/>
    <mergeCell ref="A2:Q2"/>
    <mergeCell ref="A4:E4"/>
    <mergeCell ref="G4:J4"/>
    <mergeCell ref="K4:N4"/>
    <mergeCell ref="O4:Q4"/>
  </mergeCells>
  <dataValidations count="2">
    <dataValidation allowBlank="true" error="Pilih salah satu dari daftar." errorStyle="stop" operator="between" prompt="Pilih kategori temuan audit" showDropDown="false" showErrorMessage="false" showInputMessage="false" sqref="I6:I40" type="list">
      <formula1>"Sesuai,Observasi (OB),KTS Minor,KTS Mayor"</formula1>
      <formula2>0</formula2>
    </dataValidation>
    <dataValidation allowBlank="true" errorStyle="stop" operator="between" showDropDown="false" showErrorMessage="false" showInputMessage="false" sqref="O6:O40" type="list">
      <formula1>"Belum Diverifikasi,Terverifikasi - Selesai,Terverifikasi - Belum Selesai,Terverifikasi - Perlu Tindak Lanjut Lanjutan"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B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70"/>
  </cols>
  <sheetData>
    <row r="1" customFormat="false" ht="25.5" hidden="false" customHeight="true" outlineLevel="0" collapsed="false">
      <c r="A1" s="21" t="s">
        <v>640</v>
      </c>
      <c r="B1" s="21"/>
    </row>
    <row r="2" customFormat="false" ht="15.75" hidden="false" customHeight="true" outlineLevel="0" collapsed="false">
      <c r="A2" s="22" t="s">
        <v>641</v>
      </c>
      <c r="B2" s="22"/>
    </row>
    <row r="4" customFormat="false" ht="19.5" hidden="false" customHeight="true" outlineLevel="0" collapsed="false">
      <c r="A4" s="41" t="s">
        <v>642</v>
      </c>
      <c r="B4" s="41"/>
    </row>
    <row r="5" customFormat="false" ht="30" hidden="false" customHeight="true" outlineLevel="0" collapsed="false">
      <c r="A5" s="42" t="s">
        <v>643</v>
      </c>
      <c r="B5" s="33"/>
    </row>
    <row r="6" customFormat="false" ht="30" hidden="false" customHeight="true" outlineLevel="0" collapsed="false">
      <c r="A6" s="42" t="s">
        <v>644</v>
      </c>
      <c r="B6" s="33"/>
    </row>
    <row r="7" customFormat="false" ht="30" hidden="false" customHeight="true" outlineLevel="0" collapsed="false">
      <c r="A7" s="42" t="s">
        <v>645</v>
      </c>
      <c r="B7" s="33"/>
    </row>
    <row r="8" customFormat="false" ht="30" hidden="false" customHeight="true" outlineLevel="0" collapsed="false">
      <c r="A8" s="42" t="s">
        <v>646</v>
      </c>
      <c r="B8" s="33"/>
    </row>
    <row r="9" customFormat="false" ht="30" hidden="false" customHeight="true" outlineLevel="0" collapsed="false">
      <c r="A9" s="42" t="s">
        <v>647</v>
      </c>
      <c r="B9" s="33"/>
    </row>
    <row r="11" customFormat="false" ht="19.5" hidden="false" customHeight="true" outlineLevel="0" collapsed="false">
      <c r="A11" s="43" t="s">
        <v>648</v>
      </c>
      <c r="B11" s="43"/>
    </row>
    <row r="12" customFormat="false" ht="30" hidden="false" customHeight="true" outlineLevel="0" collapsed="false">
      <c r="A12" s="42" t="s">
        <v>643</v>
      </c>
      <c r="B12" s="33"/>
    </row>
    <row r="13" customFormat="false" ht="30" hidden="false" customHeight="true" outlineLevel="0" collapsed="false">
      <c r="A13" s="42" t="s">
        <v>644</v>
      </c>
      <c r="B13" s="33"/>
    </row>
    <row r="14" customFormat="false" ht="30" hidden="false" customHeight="true" outlineLevel="0" collapsed="false">
      <c r="A14" s="42" t="s">
        <v>645</v>
      </c>
      <c r="B14" s="33"/>
    </row>
    <row r="15" customFormat="false" ht="30" hidden="false" customHeight="true" outlineLevel="0" collapsed="false">
      <c r="A15" s="42" t="s">
        <v>646</v>
      </c>
      <c r="B15" s="33"/>
    </row>
    <row r="16" customFormat="false" ht="30" hidden="false" customHeight="true" outlineLevel="0" collapsed="false">
      <c r="A16" s="42" t="s">
        <v>647</v>
      </c>
      <c r="B16" s="33"/>
    </row>
    <row r="18" customFormat="false" ht="19.5" hidden="false" customHeight="true" outlineLevel="0" collapsed="false">
      <c r="A18" s="44" t="s">
        <v>649</v>
      </c>
      <c r="B18" s="44"/>
    </row>
    <row r="19" customFormat="false" ht="30" hidden="false" customHeight="true" outlineLevel="0" collapsed="false">
      <c r="A19" s="42" t="s">
        <v>643</v>
      </c>
      <c r="B19" s="33"/>
    </row>
    <row r="20" customFormat="false" ht="30" hidden="false" customHeight="true" outlineLevel="0" collapsed="false">
      <c r="A20" s="42" t="s">
        <v>644</v>
      </c>
      <c r="B20" s="33"/>
    </row>
    <row r="21" customFormat="false" ht="30" hidden="false" customHeight="true" outlineLevel="0" collapsed="false">
      <c r="A21" s="42" t="s">
        <v>645</v>
      </c>
      <c r="B21" s="33"/>
    </row>
    <row r="22" customFormat="false" ht="30" hidden="false" customHeight="true" outlineLevel="0" collapsed="false">
      <c r="A22" s="42" t="s">
        <v>646</v>
      </c>
      <c r="B22" s="33"/>
    </row>
    <row r="23" customFormat="false" ht="30" hidden="false" customHeight="true" outlineLevel="0" collapsed="false">
      <c r="A23" s="42" t="s">
        <v>647</v>
      </c>
      <c r="B23" s="33"/>
    </row>
    <row r="25" customFormat="false" ht="19.5" hidden="false" customHeight="true" outlineLevel="0" collapsed="false">
      <c r="A25" s="45" t="s">
        <v>650</v>
      </c>
      <c r="B25" s="45"/>
    </row>
    <row r="26" customFormat="false" ht="15" hidden="false" customHeight="false" outlineLevel="0" collapsed="false">
      <c r="A26" s="46"/>
      <c r="B26" s="46"/>
    </row>
    <row r="27" customFormat="false" ht="15" hidden="false" customHeight="false" outlineLevel="0" collapsed="false">
      <c r="A27" s="46"/>
      <c r="B27" s="46"/>
    </row>
    <row r="28" customFormat="false" ht="15" hidden="false" customHeight="false" outlineLevel="0" collapsed="false">
      <c r="A28" s="46"/>
      <c r="B28" s="46"/>
    </row>
    <row r="29" customFormat="false" ht="15" hidden="false" customHeight="false" outlineLevel="0" collapsed="false">
      <c r="A29" s="46"/>
      <c r="B29" s="46"/>
    </row>
    <row r="30" customFormat="false" ht="15" hidden="false" customHeight="false" outlineLevel="0" collapsed="false">
      <c r="A30" s="46"/>
      <c r="B30" s="46"/>
    </row>
    <row r="31" customFormat="false" ht="15" hidden="false" customHeight="false" outlineLevel="0" collapsed="false">
      <c r="A31" s="46"/>
      <c r="B31" s="46"/>
    </row>
    <row r="32" customFormat="false" ht="15" hidden="false" customHeight="false" outlineLevel="0" collapsed="false">
      <c r="A32" s="46"/>
      <c r="B32" s="46"/>
    </row>
    <row r="33" customFormat="false" ht="15" hidden="false" customHeight="false" outlineLevel="0" collapsed="false">
      <c r="A33" s="46"/>
      <c r="B33" s="46"/>
    </row>
    <row r="34" customFormat="false" ht="15" hidden="false" customHeight="false" outlineLevel="0" collapsed="false">
      <c r="A34" s="46"/>
      <c r="B34" s="46"/>
    </row>
    <row r="35" customFormat="false" ht="15" hidden="false" customHeight="false" outlineLevel="0" collapsed="false">
      <c r="A35" s="46"/>
      <c r="B35" s="46"/>
    </row>
    <row r="36" customFormat="false" ht="15" hidden="false" customHeight="false" outlineLevel="0" collapsed="false">
      <c r="A36" s="46"/>
      <c r="B36" s="46"/>
    </row>
    <row r="37" customFormat="false" ht="15" hidden="false" customHeight="false" outlineLevel="0" collapsed="false">
      <c r="A37" s="46"/>
      <c r="B37" s="46"/>
    </row>
    <row r="38" customFormat="false" ht="15" hidden="false" customHeight="false" outlineLevel="0" collapsed="false">
      <c r="A38" s="46"/>
      <c r="B38" s="46"/>
    </row>
    <row r="39" customFormat="false" ht="15" hidden="false" customHeight="false" outlineLevel="0" collapsed="false">
      <c r="A39" s="46"/>
      <c r="B39" s="46"/>
    </row>
    <row r="40" customFormat="false" ht="15" hidden="false" customHeight="false" outlineLevel="0" collapsed="false">
      <c r="A40" s="46"/>
      <c r="B40" s="46"/>
    </row>
    <row r="42" customFormat="false" ht="15" hidden="false" customHeight="true" outlineLevel="0" collapsed="false">
      <c r="A42" s="7" t="s">
        <v>651</v>
      </c>
      <c r="B42" s="7"/>
    </row>
    <row r="43" customFormat="false" ht="15" hidden="false" customHeight="false" outlineLevel="0" collapsed="false">
      <c r="A43" s="7"/>
      <c r="B43" s="7"/>
    </row>
  </sheetData>
  <mergeCells count="8">
    <mergeCell ref="A1:B1"/>
    <mergeCell ref="A2:B2"/>
    <mergeCell ref="A4:B4"/>
    <mergeCell ref="A11:B11"/>
    <mergeCell ref="A18:B18"/>
    <mergeCell ref="A25:B25"/>
    <mergeCell ref="A26:B40"/>
    <mergeCell ref="A42:B43"/>
  </mergeCells>
  <dataValidations count="3">
    <dataValidation allowBlank="true" errorStyle="stop" operator="between" showDropDown="false" showErrorMessage="false" showInputMessage="false" sqref="B6" type="list">
      <formula1>"Lokal,Nasional,Internasional,Lokal &amp; Nasional,Nasional &amp; Internasional,Lokal-Nasional-Internasional"</formula1>
      <formula2>0</formula2>
    </dataValidation>
    <dataValidation allowBlank="true" errorStyle="stop" operator="between" showDropDown="false" showErrorMessage="false" showInputMessage="false" sqref="B13" type="list">
      <formula1>"Lokal,Nasional,Internasional,Lokal &amp; Nasional,Nasional &amp; Internasional,Lokal-Nasional-Internasional"</formula1>
      <formula2>0</formula2>
    </dataValidation>
    <dataValidation allowBlank="true" errorStyle="stop" operator="between" showDropDown="false" showErrorMessage="false" showInputMessage="false" sqref="B20" type="list">
      <formula1>"Lokal,Nasional,Internasional,Lokal &amp; Nasional,Nasional &amp; Internasional,Lokal-Nasional-Internasional"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I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7" min="6" style="0" width="16"/>
    <col collapsed="false" customWidth="true" hidden="false" outlineLevel="0" max="8" min="8" style="0" width="20"/>
    <col collapsed="false" customWidth="true" hidden="false" outlineLevel="0" max="9" min="9" style="0" width="30"/>
  </cols>
  <sheetData>
    <row r="1" customFormat="false" ht="25.5" hidden="false" customHeight="true" outlineLevel="0" collapsed="false">
      <c r="A1" s="21" t="s">
        <v>652</v>
      </c>
      <c r="B1" s="21"/>
      <c r="C1" s="21"/>
      <c r="D1" s="21"/>
      <c r="E1" s="21"/>
      <c r="F1" s="21"/>
      <c r="G1" s="21"/>
      <c r="H1" s="21"/>
      <c r="I1" s="21"/>
    </row>
    <row r="2" customFormat="false" ht="60" hidden="false" customHeight="true" outlineLevel="0" collapsed="false">
      <c r="A2" s="47" t="s">
        <v>653</v>
      </c>
      <c r="B2" s="47"/>
      <c r="C2" s="47"/>
      <c r="D2" s="47"/>
      <c r="E2" s="47"/>
      <c r="F2" s="47"/>
      <c r="G2" s="47"/>
      <c r="H2" s="47"/>
      <c r="I2" s="47"/>
    </row>
    <row r="4" customFormat="false" ht="21.75" hidden="false" customHeight="true" outlineLevel="0" collapsed="false">
      <c r="A4" s="48" t="s">
        <v>654</v>
      </c>
      <c r="B4" s="48"/>
      <c r="C4" s="48"/>
      <c r="D4" s="48"/>
      <c r="E4" s="48"/>
      <c r="F4" s="48"/>
      <c r="G4" s="49" t="s">
        <v>655</v>
      </c>
      <c r="H4" s="50"/>
      <c r="I4" s="50"/>
    </row>
    <row r="5" customFormat="false" ht="30" hidden="false" customHeight="true" outlineLevel="0" collapsed="false">
      <c r="A5" s="29" t="s">
        <v>128</v>
      </c>
      <c r="B5" s="29" t="s">
        <v>656</v>
      </c>
      <c r="C5" s="29" t="s">
        <v>657</v>
      </c>
      <c r="D5" s="29" t="s">
        <v>658</v>
      </c>
      <c r="E5" s="29" t="s">
        <v>659</v>
      </c>
      <c r="F5" s="29" t="s">
        <v>660</v>
      </c>
      <c r="G5" s="29" t="s">
        <v>661</v>
      </c>
      <c r="H5" s="29" t="s">
        <v>662</v>
      </c>
      <c r="I5" s="29" t="s">
        <v>663</v>
      </c>
    </row>
    <row r="6" customFormat="false" ht="27.75" hidden="false" customHeight="true" outlineLevel="0" collapsed="false">
      <c r="A6" s="31" t="n">
        <v>1</v>
      </c>
      <c r="B6" s="32" t="s">
        <v>664</v>
      </c>
      <c r="C6" s="35" t="s">
        <v>76</v>
      </c>
      <c r="D6" s="32" t="s">
        <v>665</v>
      </c>
      <c r="E6" s="32" t="s">
        <v>666</v>
      </c>
      <c r="F6" s="33"/>
      <c r="G6" s="33"/>
      <c r="H6" s="33"/>
      <c r="I6" s="33"/>
    </row>
    <row r="7" customFormat="false" ht="27.75" hidden="false" customHeight="true" outlineLevel="0" collapsed="false">
      <c r="A7" s="31" t="n">
        <v>2</v>
      </c>
      <c r="B7" s="32" t="s">
        <v>667</v>
      </c>
      <c r="C7" s="35" t="s">
        <v>76</v>
      </c>
      <c r="D7" s="32" t="s">
        <v>668</v>
      </c>
      <c r="E7" s="32" t="s">
        <v>669</v>
      </c>
      <c r="F7" s="33"/>
      <c r="G7" s="33"/>
      <c r="H7" s="33"/>
      <c r="I7" s="33"/>
    </row>
    <row r="8" customFormat="false" ht="27.75" hidden="false" customHeight="true" outlineLevel="0" collapsed="false">
      <c r="A8" s="31" t="n">
        <v>3</v>
      </c>
      <c r="B8" s="32" t="s">
        <v>670</v>
      </c>
      <c r="C8" s="36" t="s">
        <v>78</v>
      </c>
      <c r="D8" s="32" t="s">
        <v>671</v>
      </c>
      <c r="E8" s="32" t="s">
        <v>672</v>
      </c>
      <c r="F8" s="33"/>
      <c r="G8" s="33"/>
      <c r="H8" s="33"/>
      <c r="I8" s="33"/>
    </row>
    <row r="9" customFormat="false" ht="27.75" hidden="false" customHeight="true" outlineLevel="0" collapsed="false">
      <c r="A9" s="31" t="n">
        <v>4</v>
      </c>
      <c r="B9" s="32" t="s">
        <v>673</v>
      </c>
      <c r="C9" s="36" t="s">
        <v>78</v>
      </c>
      <c r="D9" s="32" t="s">
        <v>674</v>
      </c>
      <c r="E9" s="32" t="s">
        <v>675</v>
      </c>
      <c r="F9" s="33"/>
      <c r="G9" s="33"/>
      <c r="H9" s="33"/>
      <c r="I9" s="33"/>
    </row>
    <row r="10" customFormat="false" ht="27.75" hidden="false" customHeight="true" outlineLevel="0" collapsed="false">
      <c r="A10" s="31" t="n">
        <v>5</v>
      </c>
      <c r="B10" s="32" t="s">
        <v>676</v>
      </c>
      <c r="C10" s="37" t="s">
        <v>80</v>
      </c>
      <c r="D10" s="32" t="s">
        <v>677</v>
      </c>
      <c r="E10" s="32" t="s">
        <v>678</v>
      </c>
      <c r="F10" s="33"/>
      <c r="G10" s="33"/>
      <c r="H10" s="33"/>
      <c r="I10" s="33"/>
    </row>
    <row r="11" customFormat="false" ht="27.75" hidden="false" customHeight="true" outlineLevel="0" collapsed="false">
      <c r="A11" s="31" t="n">
        <v>6</v>
      </c>
      <c r="B11" s="32" t="s">
        <v>679</v>
      </c>
      <c r="C11" s="37" t="s">
        <v>80</v>
      </c>
      <c r="D11" s="32" t="s">
        <v>677</v>
      </c>
      <c r="E11" s="32" t="s">
        <v>680</v>
      </c>
      <c r="F11" s="33"/>
      <c r="G11" s="33"/>
      <c r="H11" s="33"/>
      <c r="I11" s="33"/>
    </row>
    <row r="12" customFormat="false" ht="27.75" hidden="false" customHeight="true" outlineLevel="0" collapsed="false">
      <c r="A12" s="31" t="n">
        <v>7</v>
      </c>
      <c r="B12" s="32" t="s">
        <v>681</v>
      </c>
      <c r="C12" s="37" t="s">
        <v>80</v>
      </c>
      <c r="D12" s="32" t="s">
        <v>682</v>
      </c>
      <c r="E12" s="32" t="s">
        <v>683</v>
      </c>
      <c r="F12" s="33"/>
      <c r="G12" s="33"/>
      <c r="H12" s="33"/>
      <c r="I12" s="33"/>
    </row>
    <row r="13" customFormat="false" ht="27.75" hidden="false" customHeight="true" outlineLevel="0" collapsed="false">
      <c r="A13" s="31" t="n">
        <v>8</v>
      </c>
      <c r="B13" s="32" t="s">
        <v>684</v>
      </c>
      <c r="C13" s="38" t="s">
        <v>82</v>
      </c>
      <c r="D13" s="32" t="s">
        <v>685</v>
      </c>
      <c r="E13" s="32" t="s">
        <v>686</v>
      </c>
      <c r="F13" s="33"/>
      <c r="G13" s="33"/>
      <c r="H13" s="33"/>
      <c r="I13" s="33"/>
    </row>
    <row r="14" customFormat="false" ht="27.75" hidden="false" customHeight="true" outlineLevel="0" collapsed="false">
      <c r="A14" s="31" t="n">
        <v>9</v>
      </c>
      <c r="B14" s="32" t="s">
        <v>687</v>
      </c>
      <c r="C14" s="38" t="s">
        <v>82</v>
      </c>
      <c r="D14" s="32" t="s">
        <v>688</v>
      </c>
      <c r="E14" s="32" t="s">
        <v>689</v>
      </c>
      <c r="F14" s="33"/>
      <c r="G14" s="33"/>
      <c r="H14" s="33"/>
      <c r="I14" s="33"/>
    </row>
    <row r="15" customFormat="false" ht="27.75" hidden="false" customHeight="true" outlineLevel="0" collapsed="false">
      <c r="A15" s="31" t="n">
        <v>10</v>
      </c>
      <c r="B15" s="32" t="s">
        <v>690</v>
      </c>
      <c r="C15" s="38" t="s">
        <v>82</v>
      </c>
      <c r="D15" s="32" t="s">
        <v>691</v>
      </c>
      <c r="E15" s="32" t="s">
        <v>692</v>
      </c>
      <c r="F15" s="33"/>
      <c r="G15" s="33"/>
      <c r="H15" s="33"/>
      <c r="I15" s="33"/>
    </row>
    <row r="16" customFormat="false" ht="27.75" hidden="false" customHeight="true" outlineLevel="0" collapsed="false">
      <c r="A16" s="31" t="n">
        <v>11</v>
      </c>
      <c r="B16" s="32" t="s">
        <v>693</v>
      </c>
      <c r="C16" s="39" t="s">
        <v>84</v>
      </c>
      <c r="D16" s="32" t="s">
        <v>694</v>
      </c>
      <c r="E16" s="32" t="s">
        <v>695</v>
      </c>
      <c r="F16" s="33"/>
      <c r="G16" s="33"/>
      <c r="H16" s="33"/>
      <c r="I16" s="33"/>
    </row>
    <row r="17" customFormat="false" ht="27.75" hidden="false" customHeight="true" outlineLevel="0" collapsed="false">
      <c r="A17" s="31" t="n">
        <v>12</v>
      </c>
      <c r="B17" s="32" t="s">
        <v>696</v>
      </c>
      <c r="C17" s="39" t="s">
        <v>84</v>
      </c>
      <c r="D17" s="32" t="s">
        <v>697</v>
      </c>
      <c r="E17" s="32" t="s">
        <v>698</v>
      </c>
      <c r="F17" s="33"/>
      <c r="G17" s="33"/>
      <c r="H17" s="33"/>
      <c r="I17" s="33"/>
    </row>
    <row r="18" customFormat="false" ht="19.5" hidden="false" customHeight="true" outlineLevel="0" collapsed="false">
      <c r="A18" s="51" t="s">
        <v>699</v>
      </c>
      <c r="B18" s="51"/>
      <c r="C18" s="52" t="str">
        <f aca="false">"Terlaksana Sesuai Rencana: "&amp;COUNTIF(H6:H17,"Terlaksana Sesuai Rencana")&amp;"  |  Tertunda: "&amp;COUNTIF(H6:H17,"Terlaksana - Tertunda")&amp;"  |  Belum Dilaksanakan: "&amp;COUNTIF(H6:H17,"Belum Dilaksanakan")&amp;"  |  Dibatalkan: "&amp;COUNTIF(H6:H17,"Dibatalkan")&amp;"  (dari "&amp;(17-6+1)&amp;" kegiatan)"</f>
        <v>Terlaksana Sesuai Rencana: 0  |  Tertunda: 0  |  Belum Dilaksanakan: 0  |  Dibatalkan: 0  (dari 12 kegiatan)</v>
      </c>
      <c r="D18" s="52"/>
      <c r="E18" s="52"/>
      <c r="F18" s="52"/>
      <c r="G18" s="52"/>
      <c r="H18" s="52"/>
      <c r="I18" s="52"/>
    </row>
    <row r="20" customFormat="false" ht="21.75" hidden="false" customHeight="true" outlineLevel="0" collapsed="false">
      <c r="A20" s="48" t="s">
        <v>700</v>
      </c>
      <c r="B20" s="48"/>
      <c r="C20" s="48"/>
      <c r="D20" s="48"/>
      <c r="E20" s="48"/>
      <c r="F20" s="48"/>
      <c r="G20" s="49" t="s">
        <v>655</v>
      </c>
      <c r="H20" s="50"/>
      <c r="I20" s="50"/>
    </row>
    <row r="21" customFormat="false" ht="30" hidden="false" customHeight="true" outlineLevel="0" collapsed="false">
      <c r="A21" s="29" t="s">
        <v>128</v>
      </c>
      <c r="B21" s="29" t="s">
        <v>656</v>
      </c>
      <c r="C21" s="29" t="s">
        <v>657</v>
      </c>
      <c r="D21" s="29" t="s">
        <v>658</v>
      </c>
      <c r="E21" s="29" t="s">
        <v>659</v>
      </c>
      <c r="F21" s="29" t="s">
        <v>660</v>
      </c>
      <c r="G21" s="29" t="s">
        <v>661</v>
      </c>
      <c r="H21" s="29" t="s">
        <v>662</v>
      </c>
      <c r="I21" s="29" t="s">
        <v>663</v>
      </c>
    </row>
    <row r="22" customFormat="false" ht="27.75" hidden="false" customHeight="true" outlineLevel="0" collapsed="false">
      <c r="A22" s="31" t="n">
        <v>1</v>
      </c>
      <c r="B22" s="32" t="s">
        <v>664</v>
      </c>
      <c r="C22" s="35" t="s">
        <v>76</v>
      </c>
      <c r="D22" s="32" t="s">
        <v>665</v>
      </c>
      <c r="E22" s="32" t="s">
        <v>666</v>
      </c>
      <c r="F22" s="33"/>
      <c r="G22" s="33"/>
      <c r="H22" s="33"/>
      <c r="I22" s="33"/>
    </row>
    <row r="23" customFormat="false" ht="27.75" hidden="false" customHeight="true" outlineLevel="0" collapsed="false">
      <c r="A23" s="31" t="n">
        <v>2</v>
      </c>
      <c r="B23" s="32" t="s">
        <v>667</v>
      </c>
      <c r="C23" s="35" t="s">
        <v>76</v>
      </c>
      <c r="D23" s="32" t="s">
        <v>668</v>
      </c>
      <c r="E23" s="32" t="s">
        <v>669</v>
      </c>
      <c r="F23" s="33"/>
      <c r="G23" s="33"/>
      <c r="H23" s="33"/>
      <c r="I23" s="33"/>
    </row>
    <row r="24" customFormat="false" ht="27.75" hidden="false" customHeight="true" outlineLevel="0" collapsed="false">
      <c r="A24" s="31" t="n">
        <v>3</v>
      </c>
      <c r="B24" s="32" t="s">
        <v>670</v>
      </c>
      <c r="C24" s="36" t="s">
        <v>78</v>
      </c>
      <c r="D24" s="32" t="s">
        <v>671</v>
      </c>
      <c r="E24" s="32" t="s">
        <v>672</v>
      </c>
      <c r="F24" s="33"/>
      <c r="G24" s="33"/>
      <c r="H24" s="33"/>
      <c r="I24" s="33"/>
    </row>
    <row r="25" customFormat="false" ht="27.75" hidden="false" customHeight="true" outlineLevel="0" collapsed="false">
      <c r="A25" s="31" t="n">
        <v>4</v>
      </c>
      <c r="B25" s="32" t="s">
        <v>673</v>
      </c>
      <c r="C25" s="36" t="s">
        <v>78</v>
      </c>
      <c r="D25" s="32" t="s">
        <v>674</v>
      </c>
      <c r="E25" s="32" t="s">
        <v>675</v>
      </c>
      <c r="F25" s="33"/>
      <c r="G25" s="33"/>
      <c r="H25" s="33"/>
      <c r="I25" s="33"/>
    </row>
    <row r="26" customFormat="false" ht="27.75" hidden="false" customHeight="true" outlineLevel="0" collapsed="false">
      <c r="A26" s="31" t="n">
        <v>5</v>
      </c>
      <c r="B26" s="32" t="s">
        <v>676</v>
      </c>
      <c r="C26" s="37" t="s">
        <v>80</v>
      </c>
      <c r="D26" s="32" t="s">
        <v>677</v>
      </c>
      <c r="E26" s="32" t="s">
        <v>678</v>
      </c>
      <c r="F26" s="33"/>
      <c r="G26" s="33"/>
      <c r="H26" s="33"/>
      <c r="I26" s="33"/>
    </row>
    <row r="27" customFormat="false" ht="27.75" hidden="false" customHeight="true" outlineLevel="0" collapsed="false">
      <c r="A27" s="31" t="n">
        <v>6</v>
      </c>
      <c r="B27" s="32" t="s">
        <v>679</v>
      </c>
      <c r="C27" s="37" t="s">
        <v>80</v>
      </c>
      <c r="D27" s="32" t="s">
        <v>677</v>
      </c>
      <c r="E27" s="32" t="s">
        <v>680</v>
      </c>
      <c r="F27" s="33"/>
      <c r="G27" s="33"/>
      <c r="H27" s="33"/>
      <c r="I27" s="33"/>
    </row>
    <row r="28" customFormat="false" ht="27.75" hidden="false" customHeight="true" outlineLevel="0" collapsed="false">
      <c r="A28" s="31" t="n">
        <v>7</v>
      </c>
      <c r="B28" s="32" t="s">
        <v>681</v>
      </c>
      <c r="C28" s="37" t="s">
        <v>80</v>
      </c>
      <c r="D28" s="32" t="s">
        <v>682</v>
      </c>
      <c r="E28" s="32" t="s">
        <v>683</v>
      </c>
      <c r="F28" s="33"/>
      <c r="G28" s="33"/>
      <c r="H28" s="33"/>
      <c r="I28" s="33"/>
    </row>
    <row r="29" customFormat="false" ht="27.75" hidden="false" customHeight="true" outlineLevel="0" collapsed="false">
      <c r="A29" s="31" t="n">
        <v>8</v>
      </c>
      <c r="B29" s="32" t="s">
        <v>684</v>
      </c>
      <c r="C29" s="38" t="s">
        <v>82</v>
      </c>
      <c r="D29" s="32" t="s">
        <v>685</v>
      </c>
      <c r="E29" s="32" t="s">
        <v>686</v>
      </c>
      <c r="F29" s="33"/>
      <c r="G29" s="33"/>
      <c r="H29" s="33"/>
      <c r="I29" s="33"/>
    </row>
    <row r="30" customFormat="false" ht="27.75" hidden="false" customHeight="true" outlineLevel="0" collapsed="false">
      <c r="A30" s="31" t="n">
        <v>9</v>
      </c>
      <c r="B30" s="32" t="s">
        <v>687</v>
      </c>
      <c r="C30" s="38" t="s">
        <v>82</v>
      </c>
      <c r="D30" s="32" t="s">
        <v>688</v>
      </c>
      <c r="E30" s="32" t="s">
        <v>689</v>
      </c>
      <c r="F30" s="33"/>
      <c r="G30" s="33"/>
      <c r="H30" s="33"/>
      <c r="I30" s="33"/>
    </row>
    <row r="31" customFormat="false" ht="27.75" hidden="false" customHeight="true" outlineLevel="0" collapsed="false">
      <c r="A31" s="31" t="n">
        <v>10</v>
      </c>
      <c r="B31" s="32" t="s">
        <v>690</v>
      </c>
      <c r="C31" s="38" t="s">
        <v>82</v>
      </c>
      <c r="D31" s="32" t="s">
        <v>691</v>
      </c>
      <c r="E31" s="32" t="s">
        <v>692</v>
      </c>
      <c r="F31" s="33"/>
      <c r="G31" s="33"/>
      <c r="H31" s="33"/>
      <c r="I31" s="33"/>
    </row>
    <row r="32" customFormat="false" ht="27.75" hidden="false" customHeight="true" outlineLevel="0" collapsed="false">
      <c r="A32" s="31" t="n">
        <v>11</v>
      </c>
      <c r="B32" s="32" t="s">
        <v>693</v>
      </c>
      <c r="C32" s="39" t="s">
        <v>84</v>
      </c>
      <c r="D32" s="32" t="s">
        <v>694</v>
      </c>
      <c r="E32" s="32" t="s">
        <v>695</v>
      </c>
      <c r="F32" s="33"/>
      <c r="G32" s="33"/>
      <c r="H32" s="33"/>
      <c r="I32" s="33"/>
    </row>
    <row r="33" customFormat="false" ht="27.75" hidden="false" customHeight="true" outlineLevel="0" collapsed="false">
      <c r="A33" s="31" t="n">
        <v>12</v>
      </c>
      <c r="B33" s="32" t="s">
        <v>696</v>
      </c>
      <c r="C33" s="39" t="s">
        <v>84</v>
      </c>
      <c r="D33" s="32" t="s">
        <v>697</v>
      </c>
      <c r="E33" s="32" t="s">
        <v>698</v>
      </c>
      <c r="F33" s="33"/>
      <c r="G33" s="33"/>
      <c r="H33" s="33"/>
      <c r="I33" s="33"/>
    </row>
    <row r="34" customFormat="false" ht="19.5" hidden="false" customHeight="true" outlineLevel="0" collapsed="false">
      <c r="A34" s="51" t="s">
        <v>701</v>
      </c>
      <c r="B34" s="51"/>
      <c r="C34" s="52" t="str">
        <f aca="false">"Terlaksana Sesuai Rencana: "&amp;COUNTIF(H22:H33,"Terlaksana Sesuai Rencana")&amp;"  |  Tertunda: "&amp;COUNTIF(H22:H33,"Terlaksana - Tertunda")&amp;"  |  Belum Dilaksanakan: "&amp;COUNTIF(H22:H33,"Belum Dilaksanakan")&amp;"  |  Dibatalkan: "&amp;COUNTIF(H22:H33,"Dibatalkan")&amp;"  (dari "&amp;(33-22+1)&amp;" kegiatan)"</f>
        <v>Terlaksana Sesuai Rencana: 0  |  Tertunda: 0  |  Belum Dilaksanakan: 0  |  Dibatalkan: 0  (dari 12 kegiatan)</v>
      </c>
      <c r="D34" s="52"/>
      <c r="E34" s="52"/>
      <c r="F34" s="52"/>
      <c r="G34" s="52"/>
      <c r="H34" s="52"/>
      <c r="I34" s="52"/>
    </row>
    <row r="36" customFormat="false" ht="21.75" hidden="false" customHeight="true" outlineLevel="0" collapsed="false">
      <c r="A36" s="48" t="s">
        <v>702</v>
      </c>
      <c r="B36" s="48"/>
      <c r="C36" s="48"/>
      <c r="D36" s="48"/>
      <c r="E36" s="48"/>
      <c r="F36" s="48"/>
      <c r="G36" s="49" t="s">
        <v>655</v>
      </c>
      <c r="H36" s="50"/>
      <c r="I36" s="50"/>
    </row>
    <row r="37" customFormat="false" ht="30" hidden="false" customHeight="true" outlineLevel="0" collapsed="false">
      <c r="A37" s="29" t="s">
        <v>128</v>
      </c>
      <c r="B37" s="29" t="s">
        <v>656</v>
      </c>
      <c r="C37" s="29" t="s">
        <v>657</v>
      </c>
      <c r="D37" s="29" t="s">
        <v>658</v>
      </c>
      <c r="E37" s="29" t="s">
        <v>659</v>
      </c>
      <c r="F37" s="29" t="s">
        <v>660</v>
      </c>
      <c r="G37" s="29" t="s">
        <v>661</v>
      </c>
      <c r="H37" s="29" t="s">
        <v>662</v>
      </c>
      <c r="I37" s="29" t="s">
        <v>663</v>
      </c>
    </row>
    <row r="38" customFormat="false" ht="27.75" hidden="false" customHeight="true" outlineLevel="0" collapsed="false">
      <c r="A38" s="31" t="n">
        <v>1</v>
      </c>
      <c r="B38" s="32" t="s">
        <v>664</v>
      </c>
      <c r="C38" s="35" t="s">
        <v>76</v>
      </c>
      <c r="D38" s="32" t="s">
        <v>665</v>
      </c>
      <c r="E38" s="32" t="s">
        <v>666</v>
      </c>
      <c r="F38" s="33"/>
      <c r="G38" s="33"/>
      <c r="H38" s="33"/>
      <c r="I38" s="33"/>
    </row>
    <row r="39" customFormat="false" ht="27.75" hidden="false" customHeight="true" outlineLevel="0" collapsed="false">
      <c r="A39" s="31" t="n">
        <v>2</v>
      </c>
      <c r="B39" s="32" t="s">
        <v>667</v>
      </c>
      <c r="C39" s="35" t="s">
        <v>76</v>
      </c>
      <c r="D39" s="32" t="s">
        <v>668</v>
      </c>
      <c r="E39" s="32" t="s">
        <v>669</v>
      </c>
      <c r="F39" s="33"/>
      <c r="G39" s="33"/>
      <c r="H39" s="33"/>
      <c r="I39" s="33"/>
    </row>
    <row r="40" customFormat="false" ht="27.75" hidden="false" customHeight="true" outlineLevel="0" collapsed="false">
      <c r="A40" s="31" t="n">
        <v>3</v>
      </c>
      <c r="B40" s="32" t="s">
        <v>670</v>
      </c>
      <c r="C40" s="36" t="s">
        <v>78</v>
      </c>
      <c r="D40" s="32" t="s">
        <v>671</v>
      </c>
      <c r="E40" s="32" t="s">
        <v>672</v>
      </c>
      <c r="F40" s="33"/>
      <c r="G40" s="33"/>
      <c r="H40" s="33"/>
      <c r="I40" s="33"/>
    </row>
    <row r="41" customFormat="false" ht="27.75" hidden="false" customHeight="true" outlineLevel="0" collapsed="false">
      <c r="A41" s="31" t="n">
        <v>4</v>
      </c>
      <c r="B41" s="32" t="s">
        <v>673</v>
      </c>
      <c r="C41" s="36" t="s">
        <v>78</v>
      </c>
      <c r="D41" s="32" t="s">
        <v>674</v>
      </c>
      <c r="E41" s="32" t="s">
        <v>675</v>
      </c>
      <c r="F41" s="33"/>
      <c r="G41" s="33"/>
      <c r="H41" s="33"/>
      <c r="I41" s="33"/>
    </row>
    <row r="42" customFormat="false" ht="27.75" hidden="false" customHeight="true" outlineLevel="0" collapsed="false">
      <c r="A42" s="31" t="n">
        <v>5</v>
      </c>
      <c r="B42" s="32" t="s">
        <v>676</v>
      </c>
      <c r="C42" s="37" t="s">
        <v>80</v>
      </c>
      <c r="D42" s="32" t="s">
        <v>677</v>
      </c>
      <c r="E42" s="32" t="s">
        <v>678</v>
      </c>
      <c r="F42" s="33"/>
      <c r="G42" s="33"/>
      <c r="H42" s="33"/>
      <c r="I42" s="33"/>
    </row>
    <row r="43" customFormat="false" ht="27.75" hidden="false" customHeight="true" outlineLevel="0" collapsed="false">
      <c r="A43" s="31" t="n">
        <v>6</v>
      </c>
      <c r="B43" s="32" t="s">
        <v>679</v>
      </c>
      <c r="C43" s="37" t="s">
        <v>80</v>
      </c>
      <c r="D43" s="32" t="s">
        <v>677</v>
      </c>
      <c r="E43" s="32" t="s">
        <v>680</v>
      </c>
      <c r="F43" s="33"/>
      <c r="G43" s="33"/>
      <c r="H43" s="33"/>
      <c r="I43" s="33"/>
    </row>
    <row r="44" customFormat="false" ht="27.75" hidden="false" customHeight="true" outlineLevel="0" collapsed="false">
      <c r="A44" s="31" t="n">
        <v>7</v>
      </c>
      <c r="B44" s="32" t="s">
        <v>681</v>
      </c>
      <c r="C44" s="37" t="s">
        <v>80</v>
      </c>
      <c r="D44" s="32" t="s">
        <v>682</v>
      </c>
      <c r="E44" s="32" t="s">
        <v>683</v>
      </c>
      <c r="F44" s="33"/>
      <c r="G44" s="33"/>
      <c r="H44" s="33"/>
      <c r="I44" s="33"/>
    </row>
    <row r="45" customFormat="false" ht="27.75" hidden="false" customHeight="true" outlineLevel="0" collapsed="false">
      <c r="A45" s="31" t="n">
        <v>8</v>
      </c>
      <c r="B45" s="32" t="s">
        <v>684</v>
      </c>
      <c r="C45" s="38" t="s">
        <v>82</v>
      </c>
      <c r="D45" s="32" t="s">
        <v>685</v>
      </c>
      <c r="E45" s="32" t="s">
        <v>686</v>
      </c>
      <c r="F45" s="33"/>
      <c r="G45" s="33"/>
      <c r="H45" s="33"/>
      <c r="I45" s="33"/>
    </row>
    <row r="46" customFormat="false" ht="27.75" hidden="false" customHeight="true" outlineLevel="0" collapsed="false">
      <c r="A46" s="31" t="n">
        <v>9</v>
      </c>
      <c r="B46" s="32" t="s">
        <v>687</v>
      </c>
      <c r="C46" s="38" t="s">
        <v>82</v>
      </c>
      <c r="D46" s="32" t="s">
        <v>688</v>
      </c>
      <c r="E46" s="32" t="s">
        <v>689</v>
      </c>
      <c r="F46" s="33"/>
      <c r="G46" s="33"/>
      <c r="H46" s="33"/>
      <c r="I46" s="33"/>
    </row>
    <row r="47" customFormat="false" ht="27.75" hidden="false" customHeight="true" outlineLevel="0" collapsed="false">
      <c r="A47" s="31" t="n">
        <v>10</v>
      </c>
      <c r="B47" s="32" t="s">
        <v>690</v>
      </c>
      <c r="C47" s="38" t="s">
        <v>82</v>
      </c>
      <c r="D47" s="32" t="s">
        <v>691</v>
      </c>
      <c r="E47" s="32" t="s">
        <v>692</v>
      </c>
      <c r="F47" s="33"/>
      <c r="G47" s="33"/>
      <c r="H47" s="33"/>
      <c r="I47" s="33"/>
    </row>
    <row r="48" customFormat="false" ht="27.75" hidden="false" customHeight="true" outlineLevel="0" collapsed="false">
      <c r="A48" s="31" t="n">
        <v>11</v>
      </c>
      <c r="B48" s="32" t="s">
        <v>693</v>
      </c>
      <c r="C48" s="39" t="s">
        <v>84</v>
      </c>
      <c r="D48" s="32" t="s">
        <v>694</v>
      </c>
      <c r="E48" s="32" t="s">
        <v>695</v>
      </c>
      <c r="F48" s="33"/>
      <c r="G48" s="33"/>
      <c r="H48" s="33"/>
      <c r="I48" s="33"/>
    </row>
    <row r="49" customFormat="false" ht="27.75" hidden="false" customHeight="true" outlineLevel="0" collapsed="false">
      <c r="A49" s="31" t="n">
        <v>12</v>
      </c>
      <c r="B49" s="32" t="s">
        <v>696</v>
      </c>
      <c r="C49" s="39" t="s">
        <v>84</v>
      </c>
      <c r="D49" s="32" t="s">
        <v>697</v>
      </c>
      <c r="E49" s="32" t="s">
        <v>698</v>
      </c>
      <c r="F49" s="33"/>
      <c r="G49" s="33"/>
      <c r="H49" s="33"/>
      <c r="I49" s="33"/>
    </row>
    <row r="50" customFormat="false" ht="19.5" hidden="false" customHeight="true" outlineLevel="0" collapsed="false">
      <c r="A50" s="51" t="s">
        <v>703</v>
      </c>
      <c r="B50" s="51"/>
      <c r="C50" s="52" t="str">
        <f aca="false">"Terlaksana Sesuai Rencana: "&amp;COUNTIF(H38:H49,"Terlaksana Sesuai Rencana")&amp;"  |  Tertunda: "&amp;COUNTIF(H38:H49,"Terlaksana - Tertunda")&amp;"  |  Belum Dilaksanakan: "&amp;COUNTIF(H38:H49,"Belum Dilaksanakan")&amp;"  |  Dibatalkan: "&amp;COUNTIF(H38:H49,"Dibatalkan")&amp;"  (dari "&amp;(49-38+1)&amp;" kegiatan)"</f>
        <v>Terlaksana Sesuai Rencana: 0  |  Tertunda: 0  |  Belum Dilaksanakan: 0  |  Dibatalkan: 0  (dari 12 kegiatan)</v>
      </c>
      <c r="D50" s="52"/>
      <c r="E50" s="52"/>
      <c r="F50" s="52"/>
      <c r="G50" s="52"/>
      <c r="H50" s="52"/>
      <c r="I50" s="52"/>
    </row>
    <row r="52" customFormat="false" ht="21.75" hidden="false" customHeight="true" outlineLevel="0" collapsed="false">
      <c r="A52" s="48" t="s">
        <v>704</v>
      </c>
      <c r="B52" s="48"/>
      <c r="C52" s="48"/>
      <c r="D52" s="48"/>
      <c r="E52" s="48"/>
      <c r="F52" s="48"/>
      <c r="G52" s="49" t="s">
        <v>655</v>
      </c>
      <c r="H52" s="50"/>
      <c r="I52" s="50"/>
    </row>
    <row r="53" customFormat="false" ht="30" hidden="false" customHeight="true" outlineLevel="0" collapsed="false">
      <c r="A53" s="29" t="s">
        <v>128</v>
      </c>
      <c r="B53" s="29" t="s">
        <v>656</v>
      </c>
      <c r="C53" s="29" t="s">
        <v>657</v>
      </c>
      <c r="D53" s="29" t="s">
        <v>658</v>
      </c>
      <c r="E53" s="29" t="s">
        <v>659</v>
      </c>
      <c r="F53" s="29" t="s">
        <v>660</v>
      </c>
      <c r="G53" s="29" t="s">
        <v>661</v>
      </c>
      <c r="H53" s="29" t="s">
        <v>662</v>
      </c>
      <c r="I53" s="29" t="s">
        <v>663</v>
      </c>
    </row>
    <row r="54" customFormat="false" ht="27.75" hidden="false" customHeight="true" outlineLevel="0" collapsed="false">
      <c r="A54" s="31" t="n">
        <v>1</v>
      </c>
      <c r="B54" s="32" t="s">
        <v>664</v>
      </c>
      <c r="C54" s="35" t="s">
        <v>76</v>
      </c>
      <c r="D54" s="32" t="s">
        <v>665</v>
      </c>
      <c r="E54" s="32" t="s">
        <v>666</v>
      </c>
      <c r="F54" s="33"/>
      <c r="G54" s="33"/>
      <c r="H54" s="33"/>
      <c r="I54" s="33"/>
    </row>
    <row r="55" customFormat="false" ht="27.75" hidden="false" customHeight="true" outlineLevel="0" collapsed="false">
      <c r="A55" s="31" t="n">
        <v>2</v>
      </c>
      <c r="B55" s="32" t="s">
        <v>667</v>
      </c>
      <c r="C55" s="35" t="s">
        <v>76</v>
      </c>
      <c r="D55" s="32" t="s">
        <v>668</v>
      </c>
      <c r="E55" s="32" t="s">
        <v>669</v>
      </c>
      <c r="F55" s="33"/>
      <c r="G55" s="33"/>
      <c r="H55" s="33"/>
      <c r="I55" s="33"/>
    </row>
    <row r="56" customFormat="false" ht="27.75" hidden="false" customHeight="true" outlineLevel="0" collapsed="false">
      <c r="A56" s="31" t="n">
        <v>3</v>
      </c>
      <c r="B56" s="32" t="s">
        <v>670</v>
      </c>
      <c r="C56" s="36" t="s">
        <v>78</v>
      </c>
      <c r="D56" s="32" t="s">
        <v>671</v>
      </c>
      <c r="E56" s="32" t="s">
        <v>672</v>
      </c>
      <c r="F56" s="33"/>
      <c r="G56" s="33"/>
      <c r="H56" s="33"/>
      <c r="I56" s="33"/>
    </row>
    <row r="57" customFormat="false" ht="27.75" hidden="false" customHeight="true" outlineLevel="0" collapsed="false">
      <c r="A57" s="31" t="n">
        <v>4</v>
      </c>
      <c r="B57" s="32" t="s">
        <v>673</v>
      </c>
      <c r="C57" s="36" t="s">
        <v>78</v>
      </c>
      <c r="D57" s="32" t="s">
        <v>674</v>
      </c>
      <c r="E57" s="32" t="s">
        <v>675</v>
      </c>
      <c r="F57" s="33"/>
      <c r="G57" s="33"/>
      <c r="H57" s="33"/>
      <c r="I57" s="33"/>
    </row>
    <row r="58" customFormat="false" ht="27.75" hidden="false" customHeight="true" outlineLevel="0" collapsed="false">
      <c r="A58" s="31" t="n">
        <v>5</v>
      </c>
      <c r="B58" s="32" t="s">
        <v>676</v>
      </c>
      <c r="C58" s="37" t="s">
        <v>80</v>
      </c>
      <c r="D58" s="32" t="s">
        <v>677</v>
      </c>
      <c r="E58" s="32" t="s">
        <v>678</v>
      </c>
      <c r="F58" s="33"/>
      <c r="G58" s="33"/>
      <c r="H58" s="33"/>
      <c r="I58" s="33"/>
    </row>
    <row r="59" customFormat="false" ht="27.75" hidden="false" customHeight="true" outlineLevel="0" collapsed="false">
      <c r="A59" s="31" t="n">
        <v>6</v>
      </c>
      <c r="B59" s="32" t="s">
        <v>679</v>
      </c>
      <c r="C59" s="37" t="s">
        <v>80</v>
      </c>
      <c r="D59" s="32" t="s">
        <v>677</v>
      </c>
      <c r="E59" s="32" t="s">
        <v>680</v>
      </c>
      <c r="F59" s="33"/>
      <c r="G59" s="33"/>
      <c r="H59" s="33"/>
      <c r="I59" s="33"/>
    </row>
    <row r="60" customFormat="false" ht="27.75" hidden="false" customHeight="true" outlineLevel="0" collapsed="false">
      <c r="A60" s="31" t="n">
        <v>7</v>
      </c>
      <c r="B60" s="32" t="s">
        <v>681</v>
      </c>
      <c r="C60" s="37" t="s">
        <v>80</v>
      </c>
      <c r="D60" s="32" t="s">
        <v>682</v>
      </c>
      <c r="E60" s="32" t="s">
        <v>683</v>
      </c>
      <c r="F60" s="33"/>
      <c r="G60" s="33"/>
      <c r="H60" s="33"/>
      <c r="I60" s="33"/>
    </row>
    <row r="61" customFormat="false" ht="27.75" hidden="false" customHeight="true" outlineLevel="0" collapsed="false">
      <c r="A61" s="31" t="n">
        <v>8</v>
      </c>
      <c r="B61" s="32" t="s">
        <v>684</v>
      </c>
      <c r="C61" s="38" t="s">
        <v>82</v>
      </c>
      <c r="D61" s="32" t="s">
        <v>685</v>
      </c>
      <c r="E61" s="32" t="s">
        <v>686</v>
      </c>
      <c r="F61" s="33"/>
      <c r="G61" s="33"/>
      <c r="H61" s="33"/>
      <c r="I61" s="33"/>
    </row>
    <row r="62" customFormat="false" ht="27.75" hidden="false" customHeight="true" outlineLevel="0" collapsed="false">
      <c r="A62" s="31" t="n">
        <v>9</v>
      </c>
      <c r="B62" s="32" t="s">
        <v>687</v>
      </c>
      <c r="C62" s="38" t="s">
        <v>82</v>
      </c>
      <c r="D62" s="32" t="s">
        <v>688</v>
      </c>
      <c r="E62" s="32" t="s">
        <v>689</v>
      </c>
      <c r="F62" s="33"/>
      <c r="G62" s="33"/>
      <c r="H62" s="33"/>
      <c r="I62" s="33"/>
    </row>
    <row r="63" customFormat="false" ht="27.75" hidden="false" customHeight="true" outlineLevel="0" collapsed="false">
      <c r="A63" s="31" t="n">
        <v>10</v>
      </c>
      <c r="B63" s="32" t="s">
        <v>690</v>
      </c>
      <c r="C63" s="38" t="s">
        <v>82</v>
      </c>
      <c r="D63" s="32" t="s">
        <v>691</v>
      </c>
      <c r="E63" s="32" t="s">
        <v>692</v>
      </c>
      <c r="F63" s="33"/>
      <c r="G63" s="33"/>
      <c r="H63" s="33"/>
      <c r="I63" s="33"/>
    </row>
    <row r="64" customFormat="false" ht="27.75" hidden="false" customHeight="true" outlineLevel="0" collapsed="false">
      <c r="A64" s="31" t="n">
        <v>11</v>
      </c>
      <c r="B64" s="32" t="s">
        <v>693</v>
      </c>
      <c r="C64" s="39" t="s">
        <v>84</v>
      </c>
      <c r="D64" s="32" t="s">
        <v>694</v>
      </c>
      <c r="E64" s="32" t="s">
        <v>695</v>
      </c>
      <c r="F64" s="33"/>
      <c r="G64" s="33"/>
      <c r="H64" s="33"/>
      <c r="I64" s="33"/>
    </row>
    <row r="65" customFormat="false" ht="27.75" hidden="false" customHeight="true" outlineLevel="0" collapsed="false">
      <c r="A65" s="31" t="n">
        <v>12</v>
      </c>
      <c r="B65" s="32" t="s">
        <v>696</v>
      </c>
      <c r="C65" s="39" t="s">
        <v>84</v>
      </c>
      <c r="D65" s="32" t="s">
        <v>697</v>
      </c>
      <c r="E65" s="32" t="s">
        <v>698</v>
      </c>
      <c r="F65" s="33"/>
      <c r="G65" s="33"/>
      <c r="H65" s="33"/>
      <c r="I65" s="33"/>
    </row>
    <row r="66" customFormat="false" ht="19.5" hidden="false" customHeight="true" outlineLevel="0" collapsed="false">
      <c r="A66" s="51" t="s">
        <v>705</v>
      </c>
      <c r="B66" s="51"/>
      <c r="C66" s="52" t="str">
        <f aca="false">"Terlaksana Sesuai Rencana: "&amp;COUNTIF(H54:H65,"Terlaksana Sesuai Rencana")&amp;"  |  Tertunda: "&amp;COUNTIF(H54:H65,"Terlaksana - Tertunda")&amp;"  |  Belum Dilaksanakan: "&amp;COUNTIF(H54:H65,"Belum Dilaksanakan")&amp;"  |  Dibatalkan: "&amp;COUNTIF(H54:H65,"Dibatalkan")&amp;"  (dari "&amp;(65-54+1)&amp;" kegiatan)"</f>
        <v>Terlaksana Sesuai Rencana: 0  |  Tertunda: 0  |  Belum Dilaksanakan: 0  |  Dibatalkan: 0  (dari 12 kegiatan)</v>
      </c>
      <c r="D66" s="52"/>
      <c r="E66" s="52"/>
      <c r="F66" s="52"/>
      <c r="G66" s="52"/>
      <c r="H66" s="52"/>
      <c r="I66" s="52"/>
    </row>
  </sheetData>
  <mergeCells count="18">
    <mergeCell ref="A1:I1"/>
    <mergeCell ref="A2:I2"/>
    <mergeCell ref="A4:F4"/>
    <mergeCell ref="H4:I4"/>
    <mergeCell ref="A18:B18"/>
    <mergeCell ref="C18:I18"/>
    <mergeCell ref="A20:F20"/>
    <mergeCell ref="H20:I20"/>
    <mergeCell ref="A34:B34"/>
    <mergeCell ref="C34:I34"/>
    <mergeCell ref="A36:F36"/>
    <mergeCell ref="H36:I36"/>
    <mergeCell ref="A50:B50"/>
    <mergeCell ref="C50:I50"/>
    <mergeCell ref="A52:F52"/>
    <mergeCell ref="H52:I52"/>
    <mergeCell ref="A66:B66"/>
    <mergeCell ref="C66:I66"/>
  </mergeCells>
  <dataValidations count="4">
    <dataValidation allowBlank="true" errorStyle="stop" operator="between" prompt="Pilih status pelaksanaan kegiatan" showDropDown="false" showErrorMessage="false" showInputMessage="false" sqref="H6:H17" type="list">
      <formula1>"Belum Dilaksanakan,Terlaksana Sesuai Rencana,Terlaksana - Tertunda,Dibatalkan"</formula1>
      <formula2>0</formula2>
    </dataValidation>
    <dataValidation allowBlank="true" errorStyle="stop" operator="between" prompt="Pilih status pelaksanaan kegiatan" showDropDown="false" showErrorMessage="false" showInputMessage="false" sqref="H22:H33" type="list">
      <formula1>"Belum Dilaksanakan,Terlaksana Sesuai Rencana,Terlaksana - Tertunda,Dibatalkan"</formula1>
      <formula2>0</formula2>
    </dataValidation>
    <dataValidation allowBlank="true" errorStyle="stop" operator="between" prompt="Pilih status pelaksanaan kegiatan" showDropDown="false" showErrorMessage="false" showInputMessage="false" sqref="H38:H49" type="list">
      <formula1>"Belum Dilaksanakan,Terlaksana Sesuai Rencana,Terlaksana - Tertunda,Dibatalkan"</formula1>
      <formula2>0</formula2>
    </dataValidation>
    <dataValidation allowBlank="true" errorStyle="stop" operator="between" prompt="Pilih status pelaksanaan kegiatan" showDropDown="false" showErrorMessage="false" showInputMessage="false" sqref="H54:H65" type="list">
      <formula1>"Belum Dilaksanakan,Terlaksana Sesuai Rencana,Terlaksana - Tertunda,Dibatalkan"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2026-09-01T22:58:43Z</dcterms:created>
  <dc:creator>openpyxl</dc:creator>
  <dc:description/>
  <dc:language>en-US</dc:language>
  <cp:lastModifiedBy/>
  <dcterms:modified xsi:type="dcterms:W3CDTF">2026-09-01T22:58:43Z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